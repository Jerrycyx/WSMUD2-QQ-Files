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Lang\Downloads\"/>
    </mc:Choice>
  </mc:AlternateContent>
  <xr:revisionPtr revIDLastSave="0" documentId="13_ncr:1_{A7656033-E095-4A8B-B083-98CAF0423319}" xr6:coauthVersionLast="47" xr6:coauthVersionMax="47" xr10:uidLastSave="{00000000-0000-0000-0000-000000000000}"/>
  <bookViews>
    <workbookView xWindow="-110" yWindow="-110" windowWidth="25820" windowHeight="13900" xr2:uid="{5DF71D8C-6803-4340-9EA3-7C0615483A51}"/>
  </bookViews>
  <sheets>
    <sheet name="大逍遥宗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9" i="1" l="1"/>
  <c r="K19" i="1"/>
  <c r="I19" i="1"/>
  <c r="K18" i="1"/>
  <c r="I18" i="1"/>
  <c r="K17" i="1"/>
  <c r="I17" i="1"/>
  <c r="K16" i="1"/>
  <c r="I16" i="1"/>
  <c r="K15" i="1"/>
  <c r="K20" i="1" s="1"/>
  <c r="I15" i="1"/>
  <c r="E22" i="1"/>
  <c r="K14" i="1"/>
  <c r="I14" i="1"/>
  <c r="K13" i="1"/>
  <c r="I13" i="1"/>
  <c r="K12" i="1"/>
  <c r="I12" i="1"/>
  <c r="E20" i="1"/>
  <c r="C20" i="1"/>
  <c r="E19" i="1"/>
  <c r="C19" i="1"/>
  <c r="E16" i="1"/>
  <c r="C16" i="1"/>
  <c r="E15" i="1"/>
  <c r="C15" i="1"/>
  <c r="E12" i="1"/>
  <c r="C12" i="1"/>
  <c r="E14" i="1"/>
  <c r="C14" i="1"/>
  <c r="E21" i="1"/>
  <c r="C21" i="1"/>
  <c r="E18" i="1"/>
  <c r="C18" i="1"/>
  <c r="E17" i="1"/>
  <c r="C17" i="1"/>
  <c r="E13" i="1"/>
  <c r="C13" i="1"/>
  <c r="AN2" i="1"/>
  <c r="C5" i="1" l="1"/>
  <c r="D5" i="1" s="1"/>
  <c r="E5" i="1" s="1"/>
  <c r="F5" i="1" s="1"/>
  <c r="C6" i="1" s="1"/>
</calcChain>
</file>

<file path=xl/sharedStrings.xml><?xml version="1.0" encoding="utf-8"?>
<sst xmlns="http://schemas.openxmlformats.org/spreadsheetml/2006/main" count="46" uniqueCount="41">
  <si>
    <t>武师</t>
  </si>
  <si>
    <t>上限</t>
    <phoneticPr fontId="7" type="noConversion"/>
  </si>
  <si>
    <t>需要经验</t>
    <phoneticPr fontId="7" type="noConversion"/>
  </si>
  <si>
    <t>基数</t>
    <phoneticPr fontId="7" type="noConversion"/>
  </si>
  <si>
    <t>当前等级</t>
    <phoneticPr fontId="7" type="noConversion"/>
  </si>
  <si>
    <t>当前经验</t>
    <phoneticPr fontId="7" type="noConversion"/>
  </si>
  <si>
    <t>当前潜能</t>
    <phoneticPr fontId="7" type="noConversion"/>
  </si>
  <si>
    <t>距离宗师所差经验</t>
    <phoneticPr fontId="7" type="noConversion"/>
  </si>
  <si>
    <t>小无相功</t>
    <phoneticPr fontId="7" type="noConversion"/>
  </si>
  <si>
    <t>技能</t>
    <phoneticPr fontId="7" type="noConversion"/>
  </si>
  <si>
    <t>可重置到</t>
    <phoneticPr fontId="7" type="noConversion"/>
  </si>
  <si>
    <t>系数</t>
    <phoneticPr fontId="7" type="noConversion"/>
  </si>
  <si>
    <t>重置可获得潜能</t>
    <phoneticPr fontId="7" type="noConversion"/>
  </si>
  <si>
    <t>请在此类格子中填入你的数据，其他格子不要动！！</t>
    <phoneticPr fontId="7" type="noConversion"/>
  </si>
  <si>
    <t>北冥神功</t>
    <phoneticPr fontId="7" type="noConversion"/>
  </si>
  <si>
    <t>八卦棍法</t>
    <phoneticPr fontId="7" type="noConversion"/>
  </si>
  <si>
    <t>秋风拂尘</t>
    <phoneticPr fontId="7" type="noConversion"/>
  </si>
  <si>
    <t>五虎断门刀</t>
    <phoneticPr fontId="7" type="noConversion"/>
  </si>
  <si>
    <t>其他绿技能</t>
    <phoneticPr fontId="7" type="noConversion"/>
  </si>
  <si>
    <t>蛇岛奇功</t>
    <phoneticPr fontId="7" type="noConversion"/>
  </si>
  <si>
    <t>神龙心法</t>
    <phoneticPr fontId="7" type="noConversion"/>
  </si>
  <si>
    <t>天山六阳掌</t>
    <phoneticPr fontId="7" type="noConversion"/>
  </si>
  <si>
    <t>凌波微步</t>
    <phoneticPr fontId="7" type="noConversion"/>
  </si>
  <si>
    <t>可重置的技能</t>
    <phoneticPr fontId="7" type="noConversion"/>
  </si>
  <si>
    <t>需要拉的技能</t>
    <phoneticPr fontId="7" type="noConversion"/>
  </si>
  <si>
    <t>目标等级</t>
    <phoneticPr fontId="7" type="noConversion"/>
  </si>
  <si>
    <t>需要潜能</t>
    <phoneticPr fontId="7" type="noConversion"/>
  </si>
  <si>
    <t>天山折梅手</t>
    <phoneticPr fontId="7" type="noConversion"/>
  </si>
  <si>
    <t>逍遥心法</t>
    <phoneticPr fontId="7" type="noConversion"/>
  </si>
  <si>
    <t>绝门棍</t>
    <phoneticPr fontId="7" type="noConversion"/>
  </si>
  <si>
    <t>小计</t>
    <phoneticPr fontId="7" type="noConversion"/>
  </si>
  <si>
    <t>经验足够后可用潜能</t>
    <phoneticPr fontId="7" type="noConversion"/>
  </si>
  <si>
    <t>基本内功</t>
    <phoneticPr fontId="7" type="noConversion"/>
  </si>
  <si>
    <t>基本拳脚</t>
    <phoneticPr fontId="7" type="noConversion"/>
  </si>
  <si>
    <t>基本招架</t>
    <phoneticPr fontId="7" type="noConversion"/>
  </si>
  <si>
    <t>基本轻功</t>
    <phoneticPr fontId="7" type="noConversion"/>
  </si>
  <si>
    <t>基本棍法</t>
    <phoneticPr fontId="7" type="noConversion"/>
  </si>
  <si>
    <t>潜能缺口</t>
    <phoneticPr fontId="7" type="noConversion"/>
  </si>
  <si>
    <t>扣去襄阳后潜能缺口</t>
    <phoneticPr fontId="7" type="noConversion"/>
  </si>
  <si>
    <t>你的宗师经验是</t>
    <phoneticPr fontId="7" type="noConversion"/>
  </si>
  <si>
    <r>
      <t>人生不只有小道，还有华山通天大道</t>
    </r>
    <r>
      <rPr>
        <b/>
        <sz val="6"/>
        <color rgb="FFFA7D00"/>
        <rFont val="等线"/>
        <family val="3"/>
        <charset val="134"/>
        <scheme val="minor"/>
      </rPr>
      <t>（判华山宗师经验）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</si>
</sst>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6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b/>
      <sz val="11"/>
      <color rgb="FF000000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rgb="FF000000"/>
      <name val="宋体"/>
      <family val="3"/>
      <charset val="134"/>
    </font>
    <font>
      <b/>
      <sz val="10"/>
      <color rgb="FF000000"/>
      <name val="微软雅黑"/>
      <family val="2"/>
      <charset val="134"/>
    </font>
    <font>
      <sz val="22"/>
      <color rgb="FF9C5700"/>
      <name val="等线"/>
      <family val="3"/>
      <charset val="134"/>
      <scheme val="minor"/>
    </font>
    <font>
      <sz val="20"/>
      <color rgb="FF9C5700"/>
      <name val="等线"/>
      <family val="3"/>
      <charset val="134"/>
      <scheme val="minor"/>
    </font>
    <font>
      <sz val="16"/>
      <color rgb="FF0061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6"/>
      <color rgb="FFFA7D00"/>
      <name val="等线"/>
      <family val="3"/>
      <charset val="134"/>
      <scheme val="minor"/>
    </font>
    <font>
      <b/>
      <sz val="22"/>
      <color rgb="FFFA7D00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DCE5F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13" fillId="9" borderId="4" applyNumberFormat="0" applyFont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176" fontId="8" fillId="8" borderId="3" xfId="0" applyNumberFormat="1" applyFont="1" applyFill="1" applyBorder="1" applyAlignment="1">
      <alignment horizontal="center" vertical="center"/>
    </xf>
    <xf numFmtId="0" fontId="3" fillId="4" borderId="0" xfId="3" applyAlignment="1">
      <alignment horizontal="center" vertical="center"/>
    </xf>
    <xf numFmtId="0" fontId="1" fillId="2" borderId="0" xfId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4" fillId="5" borderId="1" xfId="4" applyAlignment="1">
      <alignment horizontal="center" vertical="center"/>
    </xf>
    <xf numFmtId="0" fontId="3" fillId="4" borderId="1" xfId="3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2" fillId="3" borderId="3" xfId="2" applyBorder="1" applyAlignment="1">
      <alignment horizontal="center" vertical="center"/>
    </xf>
    <xf numFmtId="176" fontId="4" fillId="5" borderId="1" xfId="4" applyNumberFormat="1" applyAlignment="1">
      <alignment horizontal="center" vertical="center"/>
    </xf>
    <xf numFmtId="0" fontId="5" fillId="6" borderId="2" xfId="5" applyAlignment="1">
      <alignment horizontal="center" vertical="center"/>
    </xf>
    <xf numFmtId="0" fontId="10" fillId="4" borderId="0" xfId="3" applyFont="1" applyAlignment="1">
      <alignment horizontal="center" vertical="center"/>
    </xf>
    <xf numFmtId="0" fontId="3" fillId="4" borderId="0" xfId="3" applyAlignment="1">
      <alignment horizontal="center" vertical="center"/>
    </xf>
    <xf numFmtId="0" fontId="11" fillId="4" borderId="0" xfId="3" applyFont="1" applyAlignment="1">
      <alignment horizontal="center" vertical="center"/>
    </xf>
    <xf numFmtId="0" fontId="4" fillId="5" borderId="1" xfId="4" applyAlignment="1">
      <alignment horizontal="center" vertical="center"/>
    </xf>
    <xf numFmtId="176" fontId="4" fillId="5" borderId="1" xfId="4" applyNumberFormat="1" applyAlignment="1">
      <alignment horizontal="center" vertical="center"/>
    </xf>
    <xf numFmtId="0" fontId="12" fillId="2" borderId="0" xfId="1" applyFont="1" applyAlignment="1">
      <alignment horizontal="center" vertical="center"/>
    </xf>
    <xf numFmtId="0" fontId="1" fillId="2" borderId="0" xfId="1" applyAlignment="1">
      <alignment horizontal="center" vertical="center"/>
    </xf>
    <xf numFmtId="0" fontId="4" fillId="9" borderId="4" xfId="6" applyFont="1" applyAlignment="1">
      <alignment horizontal="center" vertical="center"/>
    </xf>
    <xf numFmtId="0" fontId="15" fillId="9" borderId="4" xfId="6" applyFont="1" applyAlignment="1">
      <alignment horizontal="center" vertical="center"/>
    </xf>
  </cellXfs>
  <cellStyles count="7">
    <cellStyle name="差" xfId="2" builtinId="27"/>
    <cellStyle name="常规" xfId="0" builtinId="0"/>
    <cellStyle name="好" xfId="1" builtinId="26"/>
    <cellStyle name="计算" xfId="4" builtinId="22"/>
    <cellStyle name="检查单元格" xfId="5" builtinId="23"/>
    <cellStyle name="适中" xfId="3" builtinId="28"/>
    <cellStyle name="注释" xfId="6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FC0A-E3F3-4C79-8157-4A9A7836C250}">
  <dimension ref="A1:AN30"/>
  <sheetViews>
    <sheetView tabSelected="1" workbookViewId="0">
      <selection activeCell="F11" sqref="F11"/>
    </sheetView>
  </sheetViews>
  <sheetFormatPr defaultRowHeight="14" x14ac:dyDescent="0.3"/>
  <cols>
    <col min="1" max="1" width="13.83203125" style="1" customWidth="1"/>
    <col min="2" max="2" width="13.1640625" style="1" customWidth="1"/>
    <col min="3" max="3" width="22.4140625" style="1" customWidth="1"/>
    <col min="4" max="4" width="24.6640625" style="1" customWidth="1"/>
    <col min="5" max="5" width="16.33203125" style="1" customWidth="1"/>
    <col min="6" max="6" width="19.83203125" style="1" customWidth="1"/>
    <col min="7" max="7" width="20" style="1" customWidth="1"/>
    <col min="8" max="8" width="13.6640625" style="1" customWidth="1"/>
    <col min="9" max="9" width="20.25" style="1" customWidth="1"/>
    <col min="10" max="10" width="13.25" style="1" customWidth="1"/>
    <col min="11" max="11" width="15.83203125" style="1" customWidth="1"/>
    <col min="12" max="16384" width="8.6640625" style="1"/>
  </cols>
  <sheetData>
    <row r="1" spans="1:40" x14ac:dyDescent="0.3">
      <c r="A1" s="20" t="s">
        <v>13</v>
      </c>
      <c r="B1" s="21"/>
      <c r="C1" s="21"/>
      <c r="D1" s="21"/>
      <c r="E1" s="21"/>
      <c r="F1" s="21"/>
      <c r="G1" s="21"/>
      <c r="AK1" s="2" t="s">
        <v>4</v>
      </c>
      <c r="AL1" s="2" t="s">
        <v>3</v>
      </c>
      <c r="AM1" s="2" t="s">
        <v>1</v>
      </c>
      <c r="AN1" s="2" t="s">
        <v>2</v>
      </c>
    </row>
    <row r="2" spans="1:40" ht="33.5" customHeight="1" x14ac:dyDescent="0.3">
      <c r="A2" s="21"/>
      <c r="B2" s="21"/>
      <c r="C2" s="21"/>
      <c r="D2" s="21"/>
      <c r="E2" s="21"/>
      <c r="F2" s="21"/>
      <c r="G2" s="21"/>
      <c r="AK2" s="3" t="s">
        <v>0</v>
      </c>
      <c r="AL2" s="3">
        <v>3</v>
      </c>
      <c r="AM2" s="4">
        <v>800</v>
      </c>
      <c r="AN2" s="5">
        <f>POWER(AM2,3)/(AL2*10)</f>
        <v>17066666.666666668</v>
      </c>
    </row>
    <row r="4" spans="1:40" x14ac:dyDescent="0.3">
      <c r="A4" s="6" t="s">
        <v>5</v>
      </c>
      <c r="B4" s="6" t="s">
        <v>6</v>
      </c>
      <c r="C4" s="6" t="s">
        <v>7</v>
      </c>
      <c r="D4" s="6" t="s">
        <v>31</v>
      </c>
      <c r="E4" s="6" t="s">
        <v>37</v>
      </c>
      <c r="F4" s="6" t="s">
        <v>38</v>
      </c>
    </row>
    <row r="5" spans="1:40" x14ac:dyDescent="0.3">
      <c r="A5" s="7">
        <v>16042354</v>
      </c>
      <c r="B5" s="7">
        <v>21131</v>
      </c>
      <c r="C5" s="13">
        <f>AN2-A5</f>
        <v>1024312.6666666679</v>
      </c>
      <c r="D5" s="13">
        <f>B5+C5+E22</f>
        <v>11127348.666666668</v>
      </c>
      <c r="E5" s="13">
        <f>K20-D5</f>
        <v>3735969.3333333321</v>
      </c>
      <c r="F5" s="13">
        <f>E5-1400000</f>
        <v>2335969.3333333321</v>
      </c>
    </row>
    <row r="6" spans="1:40" ht="52" customHeight="1" x14ac:dyDescent="0.3">
      <c r="A6" s="18" t="s">
        <v>39</v>
      </c>
      <c r="B6" s="18"/>
      <c r="C6" s="19">
        <f>AN2+F5</f>
        <v>19402636</v>
      </c>
      <c r="D6" s="18"/>
      <c r="E6"/>
    </row>
    <row r="7" spans="1:40" x14ac:dyDescent="0.3">
      <c r="C7"/>
      <c r="D7"/>
      <c r="E7"/>
    </row>
    <row r="8" spans="1:40" x14ac:dyDescent="0.3">
      <c r="C8"/>
      <c r="D8"/>
    </row>
    <row r="9" spans="1:40" x14ac:dyDescent="0.3">
      <c r="C9"/>
      <c r="D9"/>
    </row>
    <row r="10" spans="1:40" ht="38.5" customHeight="1" x14ac:dyDescent="0.3">
      <c r="A10" s="15" t="s">
        <v>23</v>
      </c>
      <c r="B10" s="16"/>
      <c r="C10" s="16"/>
      <c r="D10" s="16"/>
      <c r="E10" s="16"/>
      <c r="G10" s="17" t="s">
        <v>24</v>
      </c>
      <c r="H10" s="16"/>
      <c r="I10" s="16"/>
      <c r="J10" s="16"/>
      <c r="K10" s="16"/>
    </row>
    <row r="11" spans="1:40" x14ac:dyDescent="0.3">
      <c r="A11" s="6" t="s">
        <v>9</v>
      </c>
      <c r="B11" s="6" t="s">
        <v>10</v>
      </c>
      <c r="C11" s="6" t="s">
        <v>11</v>
      </c>
      <c r="D11" s="6" t="s">
        <v>4</v>
      </c>
      <c r="E11" s="10" t="s">
        <v>12</v>
      </c>
      <c r="G11" s="6" t="s">
        <v>9</v>
      </c>
      <c r="H11" s="6" t="s">
        <v>4</v>
      </c>
      <c r="I11" s="6" t="s">
        <v>11</v>
      </c>
      <c r="J11" s="6" t="s">
        <v>25</v>
      </c>
      <c r="K11" s="6" t="s">
        <v>26</v>
      </c>
    </row>
    <row r="12" spans="1:40" ht="14.5" x14ac:dyDescent="0.3">
      <c r="A12" s="8" t="s">
        <v>17</v>
      </c>
      <c r="B12" s="12">
        <v>100</v>
      </c>
      <c r="C12" s="9">
        <f>5+(B12-1)*10</f>
        <v>995</v>
      </c>
      <c r="D12" s="11">
        <v>100</v>
      </c>
      <c r="E12" s="9">
        <f>(D12-B12)*5+10*((D12*(D12-1)/2)-(B12*(B12-1)/2))</f>
        <v>0</v>
      </c>
      <c r="G12" s="8" t="s">
        <v>28</v>
      </c>
      <c r="H12" s="11">
        <v>100</v>
      </c>
      <c r="I12" s="9">
        <f>5+(H12-1)*10</f>
        <v>995</v>
      </c>
      <c r="J12" s="12">
        <v>800</v>
      </c>
      <c r="K12" s="9">
        <f>(J12-H12)*5+10*((J12*(J12-1)/2)-(H12*(H12-1)/2))</f>
        <v>3150000</v>
      </c>
    </row>
    <row r="13" spans="1:40" ht="14.5" x14ac:dyDescent="0.3">
      <c r="A13" s="8" t="s">
        <v>16</v>
      </c>
      <c r="B13" s="12">
        <v>100</v>
      </c>
      <c r="C13" s="9">
        <f>5+(B13-1)*10</f>
        <v>995</v>
      </c>
      <c r="D13" s="11">
        <v>310</v>
      </c>
      <c r="E13" s="9">
        <f>(D13-B13)*5+10*((D13*(D13-1)/2)-(B13*(B13-1)/2))</f>
        <v>430500</v>
      </c>
      <c r="G13" s="8" t="s">
        <v>29</v>
      </c>
      <c r="H13" s="11">
        <v>100</v>
      </c>
      <c r="I13" s="9">
        <f>5+(H13-1)*10</f>
        <v>995</v>
      </c>
      <c r="J13" s="12">
        <v>800</v>
      </c>
      <c r="K13" s="9">
        <f>(J13-H13)*5+10*((J13*(J13-1)/2)-(H13*(H13-1)/2))</f>
        <v>3150000</v>
      </c>
    </row>
    <row r="14" spans="1:40" ht="14.5" x14ac:dyDescent="0.3">
      <c r="A14" s="8" t="s">
        <v>18</v>
      </c>
      <c r="B14" s="12">
        <v>100</v>
      </c>
      <c r="C14" s="9">
        <f>5+(B14-1)*10</f>
        <v>995</v>
      </c>
      <c r="D14" s="11">
        <v>100</v>
      </c>
      <c r="E14" s="9">
        <f>(D14-B14)*5+10*((D14*(D14-1)/2)-(B14*(B14-1)/2))</f>
        <v>0</v>
      </c>
      <c r="G14" s="8" t="s">
        <v>27</v>
      </c>
      <c r="H14" s="11">
        <v>100</v>
      </c>
      <c r="I14" s="9">
        <f>7+(H14-1)*15</f>
        <v>1492</v>
      </c>
      <c r="J14" s="12">
        <v>800</v>
      </c>
      <c r="K14" s="9">
        <f>(J14-H14)*7+15*((J14*(J14-1)/2)-(H14*(H14-1)/2))</f>
        <v>4724650</v>
      </c>
    </row>
    <row r="15" spans="1:40" ht="14.5" x14ac:dyDescent="0.3">
      <c r="A15" s="8" t="s">
        <v>15</v>
      </c>
      <c r="B15" s="12">
        <v>100</v>
      </c>
      <c r="C15" s="9">
        <f>7+(B15-1)*15</f>
        <v>1492</v>
      </c>
      <c r="D15" s="11">
        <v>403</v>
      </c>
      <c r="E15" s="9">
        <f>(D15-B15)*7+15*((D15*(D15-1)/2)-(B15*(B15-1)/2))</f>
        <v>1142916</v>
      </c>
      <c r="G15" s="8" t="s">
        <v>32</v>
      </c>
      <c r="H15" s="11">
        <v>701</v>
      </c>
      <c r="I15" s="9">
        <f>2+(H15-1)*5</f>
        <v>3502</v>
      </c>
      <c r="J15" s="12">
        <v>800</v>
      </c>
      <c r="K15" s="9">
        <f>(J15-H15)*2+5*((J15*(J15-1)/2)-(H15*(H15-1)/2))</f>
        <v>371448</v>
      </c>
    </row>
    <row r="16" spans="1:40" ht="14.5" x14ac:dyDescent="0.3">
      <c r="A16" s="8" t="s">
        <v>19</v>
      </c>
      <c r="B16" s="12">
        <v>100</v>
      </c>
      <c r="C16" s="9">
        <f>7+(B16-1)*15</f>
        <v>1492</v>
      </c>
      <c r="D16" s="11">
        <v>302</v>
      </c>
      <c r="E16" s="9">
        <f>(D16-B16)*7+15*((D16*(D16-1)/2)-(B16*(B16-1)/2))</f>
        <v>608929</v>
      </c>
      <c r="G16" s="8" t="s">
        <v>33</v>
      </c>
      <c r="H16" s="11">
        <v>510</v>
      </c>
      <c r="I16" s="9">
        <f>2+(H16-1)*5</f>
        <v>2547</v>
      </c>
      <c r="J16" s="12">
        <v>800</v>
      </c>
      <c r="K16" s="9">
        <f>(J16-H16)*2+5*((J16*(J16-1)/2)-(H16*(H16-1)/2))</f>
        <v>949605</v>
      </c>
    </row>
    <row r="17" spans="1:11" ht="14.5" x14ac:dyDescent="0.3">
      <c r="A17" s="8" t="s">
        <v>20</v>
      </c>
      <c r="B17" s="12">
        <v>100</v>
      </c>
      <c r="C17" s="9">
        <f>7+(B17-1)*15</f>
        <v>1492</v>
      </c>
      <c r="D17" s="11">
        <v>200</v>
      </c>
      <c r="E17" s="9">
        <f>(D17-B17)*7+15*((D17*(D17-1)/2)-(B17*(B17-1)/2))</f>
        <v>224950</v>
      </c>
      <c r="G17" s="8" t="s">
        <v>34</v>
      </c>
      <c r="H17" s="11">
        <v>701</v>
      </c>
      <c r="I17" s="9">
        <f>2+(H17-1)*5</f>
        <v>3502</v>
      </c>
      <c r="J17" s="12">
        <v>800</v>
      </c>
      <c r="K17" s="9">
        <f>(J17-H17)*2+5*((J17*(J17-1)/2)-(H17*(H17-1)/2))</f>
        <v>371448</v>
      </c>
    </row>
    <row r="18" spans="1:11" ht="14.5" x14ac:dyDescent="0.3">
      <c r="A18" s="8" t="s">
        <v>14</v>
      </c>
      <c r="B18" s="12">
        <v>100</v>
      </c>
      <c r="C18" s="9">
        <f>10+(B18-1)*20</f>
        <v>1990</v>
      </c>
      <c r="D18" s="11">
        <v>691</v>
      </c>
      <c r="E18" s="9">
        <f>(D18-B18)*10+20*((D18*(D18-1)/2)-(B18*(B18-1)/2))</f>
        <v>4674810</v>
      </c>
      <c r="G18" s="8" t="s">
        <v>35</v>
      </c>
      <c r="H18" s="11">
        <v>500</v>
      </c>
      <c r="I18" s="9">
        <f>2+(H18-1)*5</f>
        <v>2497</v>
      </c>
      <c r="J18" s="12">
        <v>800</v>
      </c>
      <c r="K18" s="9">
        <f>(J18-H18)*2+5*((J18*(J18-1)/2)-(H18*(H18-1)/2))</f>
        <v>974850</v>
      </c>
    </row>
    <row r="19" spans="1:11" ht="15" thickBot="1" x14ac:dyDescent="0.35">
      <c r="A19" s="8" t="s">
        <v>21</v>
      </c>
      <c r="B19" s="12">
        <v>100</v>
      </c>
      <c r="C19" s="9">
        <f>10+(B19-1)*20</f>
        <v>1990</v>
      </c>
      <c r="D19" s="11">
        <v>100</v>
      </c>
      <c r="E19" s="9">
        <f>(D19-B19)*10+20*((D19*(D19-1)/2)-(B19*(B19-1)/2))</f>
        <v>0</v>
      </c>
      <c r="G19" s="8" t="s">
        <v>36</v>
      </c>
      <c r="H19" s="11">
        <v>414</v>
      </c>
      <c r="I19" s="9">
        <f>2+(H19-1)*5</f>
        <v>2067</v>
      </c>
      <c r="J19" s="12">
        <v>800</v>
      </c>
      <c r="K19" s="9">
        <f>(J19-H19)*2+5*((J19*(J19-1)/2)-(H19*(H19-1)/2))</f>
        <v>1171317</v>
      </c>
    </row>
    <row r="20" spans="1:11" ht="15.5" thickTop="1" thickBot="1" x14ac:dyDescent="0.35">
      <c r="A20" s="8" t="s">
        <v>22</v>
      </c>
      <c r="B20" s="12">
        <v>100</v>
      </c>
      <c r="C20" s="9">
        <f>10+(B20-1)*20</f>
        <v>1990</v>
      </c>
      <c r="D20" s="11">
        <v>100</v>
      </c>
      <c r="E20" s="9">
        <f>(D20-B20)*10+20*((D20*(D20-1)/2)-(B20*(B20-1)/2))</f>
        <v>0</v>
      </c>
      <c r="J20" s="14" t="s">
        <v>30</v>
      </c>
      <c r="K20" s="14">
        <f>SUM(K12:K19)</f>
        <v>14863318</v>
      </c>
    </row>
    <row r="21" spans="1:11" ht="15.5" thickTop="1" thickBot="1" x14ac:dyDescent="0.35">
      <c r="A21" s="8" t="s">
        <v>8</v>
      </c>
      <c r="B21" s="12">
        <v>100</v>
      </c>
      <c r="C21" s="9">
        <f>12+(B21-1)*25</f>
        <v>2487</v>
      </c>
      <c r="D21" s="11">
        <v>500</v>
      </c>
      <c r="E21" s="9">
        <f>(D21-B21)*12+25*((D21*(D21-1)/2)-(B21*(B21-1)/2))</f>
        <v>2999800</v>
      </c>
    </row>
    <row r="22" spans="1:11" ht="15" thickTop="1" thickBot="1" x14ac:dyDescent="0.35">
      <c r="D22" s="14" t="s">
        <v>30</v>
      </c>
      <c r="E22" s="14">
        <f>SUM(E12:E21)</f>
        <v>10081905</v>
      </c>
    </row>
    <row r="23" spans="1:11" ht="14.5" thickTop="1" x14ac:dyDescent="0.3"/>
    <row r="26" spans="1:11" x14ac:dyDescent="0.3">
      <c r="A26" s="23" t="s">
        <v>40</v>
      </c>
      <c r="B26" s="22"/>
      <c r="C26" s="22"/>
      <c r="D26" s="22"/>
      <c r="E26" s="22"/>
    </row>
    <row r="27" spans="1:11" x14ac:dyDescent="0.3">
      <c r="A27" s="22"/>
      <c r="B27" s="22"/>
      <c r="C27" s="22"/>
      <c r="D27" s="22"/>
      <c r="E27" s="22"/>
    </row>
    <row r="28" spans="1:11" x14ac:dyDescent="0.3">
      <c r="A28" s="22"/>
      <c r="B28" s="22"/>
      <c r="C28" s="22"/>
      <c r="D28" s="22"/>
      <c r="E28" s="22"/>
    </row>
    <row r="29" spans="1:11" x14ac:dyDescent="0.3">
      <c r="A29" s="19">
        <f>MAX(C6-1574650+100000, AN2)</f>
        <v>17927986</v>
      </c>
      <c r="B29" s="18"/>
      <c r="C29" s="18"/>
      <c r="D29" s="18"/>
      <c r="E29" s="18"/>
    </row>
    <row r="30" spans="1:11" x14ac:dyDescent="0.3">
      <c r="A30" s="18"/>
      <c r="B30" s="18"/>
      <c r="C30" s="18"/>
      <c r="D30" s="18"/>
      <c r="E30" s="18"/>
    </row>
  </sheetData>
  <mergeCells count="7">
    <mergeCell ref="A26:E28"/>
    <mergeCell ref="A29:E30"/>
    <mergeCell ref="A10:E10"/>
    <mergeCell ref="G10:K10"/>
    <mergeCell ref="A6:B6"/>
    <mergeCell ref="C6:D6"/>
    <mergeCell ref="A1:G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大逍遥宗师表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晓月 凌</dc:creator>
  <cp:lastModifiedBy>晓月 凌</cp:lastModifiedBy>
  <dcterms:created xsi:type="dcterms:W3CDTF">2025-09-01T03:10:42Z</dcterms:created>
  <dcterms:modified xsi:type="dcterms:W3CDTF">2025-09-01T04:08:18Z</dcterms:modified>
</cp:coreProperties>
</file>