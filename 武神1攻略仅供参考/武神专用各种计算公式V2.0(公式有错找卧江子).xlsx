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9815" windowHeight="7860" activeTab="0"/>
  </bookViews>
  <sheets>
    <sheet name="计算" sheetId="1" r:id="rId1"/>
    <sheet name="精炼" sheetId="2" r:id="rId2"/>
    <sheet name="秘籍" sheetId="3" r:id="rId3"/>
  </sheets>
  <definedNames>
    <definedName name="_xlnm._FilterDatabase" localSheetId="2" hidden="1">秘籍!$B$1:$F$128</definedName>
  </definedNames>
  <calcPr calcId="144525"/>
</workbook>
</file>

<file path=xl/sharedStrings.xml><?xml version="1.0" encoding="utf-8"?>
<sst xmlns="http://schemas.openxmlformats.org/spreadsheetml/2006/main" uniqueCount="255" count="255">
  <si>
    <t>卧江子说：有颜色的格子别进行改动！！！白色格子为可填写的格子，用于各项计算</t>
  </si>
  <si>
    <t>属性转换计算</t>
  </si>
  <si>
    <t>军功换算</t>
  </si>
  <si>
    <t>武神自创计算</t>
  </si>
  <si>
    <t>等级经验换算</t>
  </si>
  <si>
    <t>先天臂力</t>
  </si>
  <si>
    <t>后天臂力</t>
  </si>
  <si>
    <t>军功</t>
  </si>
  <si>
    <t>境界</t>
  </si>
  <si>
    <t>基数</t>
  </si>
  <si>
    <t>等级算经验</t>
  </si>
  <si>
    <t>经验算等级</t>
  </si>
  <si>
    <t>经验</t>
  </si>
  <si>
    <t>自创需求潜能计算</t>
  </si>
  <si>
    <t>等级</t>
  </si>
  <si>
    <t>计算经验</t>
  </si>
  <si>
    <t>计算等级</t>
  </si>
  <si>
    <t>先天身法</t>
  </si>
  <si>
    <t>后天身法</t>
  </si>
  <si>
    <t>可得潜能</t>
  </si>
  <si>
    <t>初始等级</t>
  </si>
  <si>
    <t>需求等级</t>
  </si>
  <si>
    <t>百姓</t>
  </si>
  <si>
    <t>武士</t>
  </si>
  <si>
    <t>先天根骨</t>
  </si>
  <si>
    <t>后天根骨</t>
  </si>
  <si>
    <t>练习效率换算</t>
  </si>
  <si>
    <t>潜能</t>
  </si>
  <si>
    <t>武师</t>
  </si>
  <si>
    <t>先天悟性</t>
  </si>
  <si>
    <t>后天悟性</t>
  </si>
  <si>
    <t>练习效率</t>
  </si>
  <si>
    <t>消耗潜能</t>
  </si>
  <si>
    <t>需求潜能</t>
  </si>
  <si>
    <t>宗师</t>
  </si>
  <si>
    <t>第几词条</t>
  </si>
  <si>
    <t>武圣</t>
  </si>
  <si>
    <t>收益</t>
  </si>
  <si>
    <t>使用潜能</t>
  </si>
  <si>
    <t>练习时间</t>
  </si>
  <si>
    <t>需求总潜能</t>
  </si>
  <si>
    <t>武帝</t>
  </si>
  <si>
    <t>攻击</t>
  </si>
  <si>
    <t>武神</t>
  </si>
  <si>
    <t>招架</t>
  </si>
  <si>
    <t>各级别技能潜能消耗计算</t>
  </si>
  <si>
    <t>自创内力计算</t>
  </si>
  <si>
    <t>攻速</t>
  </si>
  <si>
    <t>未含装备技能</t>
  </si>
  <si>
    <t>颜色</t>
  </si>
  <si>
    <t>当前等级</t>
  </si>
  <si>
    <t>预计等级</t>
  </si>
  <si>
    <t>内力</t>
  </si>
  <si>
    <t>暴击</t>
  </si>
  <si>
    <t>白</t>
  </si>
  <si>
    <t>技能等级</t>
  </si>
  <si>
    <t>命中</t>
  </si>
  <si>
    <t>绿</t>
  </si>
  <si>
    <t>词条等级</t>
  </si>
  <si>
    <t>闪避</t>
  </si>
  <si>
    <t>蓝</t>
  </si>
  <si>
    <t>气血</t>
  </si>
  <si>
    <t>黄</t>
  </si>
  <si>
    <t>百分比词条计算</t>
  </si>
  <si>
    <t>不含CD、特殊词条</t>
  </si>
  <si>
    <t>防御</t>
  </si>
  <si>
    <t>紫</t>
  </si>
  <si>
    <t>橙</t>
  </si>
  <si>
    <t>开花计算</t>
  </si>
  <si>
    <t>红</t>
  </si>
  <si>
    <t>属性等级</t>
  </si>
  <si>
    <t>自创等级</t>
  </si>
  <si>
    <t>开花数</t>
  </si>
  <si>
    <t>词条显示</t>
  </si>
  <si>
    <t>CD词条</t>
  </si>
  <si>
    <t>嗜血词条计算</t>
  </si>
  <si>
    <t>玄晶使用计算</t>
  </si>
  <si>
    <t>1次</t>
  </si>
  <si>
    <t>2次</t>
  </si>
  <si>
    <t>3次</t>
  </si>
  <si>
    <t>4次</t>
  </si>
  <si>
    <t>5次</t>
  </si>
  <si>
    <t>6次</t>
  </si>
  <si>
    <t>7次</t>
  </si>
  <si>
    <t>8次</t>
  </si>
  <si>
    <t>9次</t>
  </si>
  <si>
    <t>10次</t>
  </si>
  <si>
    <t>11次</t>
  </si>
  <si>
    <t>12次</t>
  </si>
  <si>
    <t>合计</t>
  </si>
  <si>
    <t>自创融合需求武道</t>
  </si>
  <si>
    <t>No.</t>
  </si>
  <si>
    <t>名称</t>
  </si>
  <si>
    <t>出处</t>
  </si>
  <si>
    <t>学</t>
  </si>
  <si>
    <t>本</t>
  </si>
  <si>
    <t>太祖长拳</t>
  </si>
  <si>
    <t>流氓巷</t>
  </si>
  <si>
    <t>五虎断门刀</t>
  </si>
  <si>
    <t>丽春院</t>
  </si>
  <si>
    <t>云龙鞭法</t>
  </si>
  <si>
    <t>混元一气</t>
  </si>
  <si>
    <t>鳌拜府</t>
  </si>
  <si>
    <t>飞檐走壁</t>
  </si>
  <si>
    <t>伏虎拳</t>
  </si>
  <si>
    <t>绝门棍</t>
  </si>
  <si>
    <t>密宗心法</t>
  </si>
  <si>
    <t>天地会</t>
  </si>
  <si>
    <t>密宗大手印</t>
  </si>
  <si>
    <t>猴拳</t>
  </si>
  <si>
    <t>云龙身法</t>
  </si>
  <si>
    <t>云龙心法</t>
  </si>
  <si>
    <t>秋风拂尘</t>
  </si>
  <si>
    <t>云龙剑</t>
  </si>
  <si>
    <t>神行百变</t>
  </si>
  <si>
    <t>神龙心法</t>
  </si>
  <si>
    <t>神龙教</t>
  </si>
  <si>
    <t>蛇岛奇功</t>
  </si>
  <si>
    <t>神龙剑</t>
  </si>
  <si>
    <t>形意步法</t>
  </si>
  <si>
    <t>化骨绵掌</t>
  </si>
  <si>
    <t>冷月神功</t>
  </si>
  <si>
    <t>关外</t>
  </si>
  <si>
    <t>胡家刀法</t>
  </si>
  <si>
    <t>四象步法</t>
  </si>
  <si>
    <t>八卦拳</t>
  </si>
  <si>
    <t>温府</t>
  </si>
  <si>
    <t>八卦棍法</t>
  </si>
  <si>
    <t>金蛇剑法</t>
  </si>
  <si>
    <t>金蛇游身步</t>
  </si>
  <si>
    <t>金蛇游身掌</t>
  </si>
  <si>
    <t>金蛇锥法</t>
  </si>
  <si>
    <t>五毒神功</t>
  </si>
  <si>
    <t>五毒教</t>
  </si>
  <si>
    <t>五毒烟萝步</t>
  </si>
  <si>
    <t>五毒钩法</t>
  </si>
  <si>
    <t>千蛛万毒手</t>
  </si>
  <si>
    <t>恒山身法</t>
  </si>
  <si>
    <t>恒山</t>
  </si>
  <si>
    <t>白云心法</t>
  </si>
  <si>
    <t>恒山剑法</t>
  </si>
  <si>
    <t>天长掌法</t>
  </si>
  <si>
    <t>狂风快刀</t>
  </si>
  <si>
    <t>踏歌行</t>
  </si>
  <si>
    <t>青城山</t>
  </si>
  <si>
    <t>催心掌</t>
  </si>
  <si>
    <t>松风剑法</t>
  </si>
  <si>
    <t>穿云纵</t>
  </si>
  <si>
    <t>衡山</t>
  </si>
  <si>
    <t>流云掌</t>
  </si>
  <si>
    <t>镇岳诀</t>
  </si>
  <si>
    <t>衡山五神剑</t>
  </si>
  <si>
    <t>泰山拳法</t>
  </si>
  <si>
    <t>泰山</t>
  </si>
  <si>
    <t>泰山剑法</t>
  </si>
  <si>
    <t>磐石神功</t>
  </si>
  <si>
    <t>嵩山剑法</t>
  </si>
  <si>
    <t>嵩山</t>
  </si>
  <si>
    <t>大嵩阳神掌</t>
  </si>
  <si>
    <t>寒冰真气</t>
  </si>
  <si>
    <t>金雁功</t>
  </si>
  <si>
    <t>桃花岛</t>
  </si>
  <si>
    <t>碧波神功</t>
  </si>
  <si>
    <t>暗影浮香</t>
  </si>
  <si>
    <t>落英神剑</t>
  </si>
  <si>
    <t>弹指神通</t>
  </si>
  <si>
    <t>空明拳</t>
  </si>
  <si>
    <t>蟾蜍步法</t>
  </si>
  <si>
    <t>白驼山</t>
  </si>
  <si>
    <t>灵蛇杖法</t>
  </si>
  <si>
    <t>蛤蟆功</t>
  </si>
  <si>
    <t>摘星功</t>
  </si>
  <si>
    <t>星宿海</t>
  </si>
  <si>
    <t>飞星术</t>
  </si>
  <si>
    <t>三阴蜈蚣爪</t>
  </si>
  <si>
    <t>化功大法</t>
  </si>
  <si>
    <t>青蝠身法</t>
  </si>
  <si>
    <t>冰火岛</t>
  </si>
  <si>
    <t>七伤拳</t>
  </si>
  <si>
    <t>绝情掌</t>
  </si>
  <si>
    <t>移花宫</t>
  </si>
  <si>
    <t>移风剑法</t>
  </si>
  <si>
    <t>移花接玉</t>
  </si>
  <si>
    <t>明玉功</t>
  </si>
  <si>
    <t>参合指</t>
  </si>
  <si>
    <t>燕子坞</t>
  </si>
  <si>
    <t>斗转星移</t>
  </si>
  <si>
    <t>辟邪剑法</t>
  </si>
  <si>
    <t>黑木崖</t>
  </si>
  <si>
    <t>葵花神功</t>
  </si>
  <si>
    <t>神剑诀</t>
  </si>
  <si>
    <t>缥缈峰</t>
  </si>
  <si>
    <t>天羽奇剑</t>
  </si>
  <si>
    <t>不老长春功</t>
  </si>
  <si>
    <t>鹰爪功</t>
  </si>
  <si>
    <t>光明顶</t>
  </si>
  <si>
    <t>圣火令法</t>
  </si>
  <si>
    <t>圣火神功</t>
  </si>
  <si>
    <t>九阳神功</t>
  </si>
  <si>
    <t>乾坤大挪移</t>
  </si>
  <si>
    <t>天南步</t>
  </si>
  <si>
    <t>天龙寺</t>
  </si>
  <si>
    <t>段家剑</t>
  </si>
  <si>
    <t>枯木神功</t>
  </si>
  <si>
    <t>六脉神剑</t>
  </si>
  <si>
    <t>身空行</t>
  </si>
  <si>
    <t>血刀门</t>
  </si>
  <si>
    <t>神照经</t>
  </si>
  <si>
    <t>血海魔功</t>
  </si>
  <si>
    <t>血刀</t>
  </si>
  <si>
    <t>玉女身法</t>
  </si>
  <si>
    <t>古墓派</t>
  </si>
  <si>
    <t>玉女心经</t>
  </si>
  <si>
    <t>银锁金玲</t>
  </si>
  <si>
    <t>黯然销魂掌</t>
  </si>
  <si>
    <t>玄铁剑法</t>
  </si>
  <si>
    <t>全真剑法</t>
  </si>
  <si>
    <t>华山论剑</t>
  </si>
  <si>
    <t>先天功</t>
  </si>
  <si>
    <t>一阳指</t>
  </si>
  <si>
    <t>九阴神功</t>
  </si>
  <si>
    <t>玄虚步</t>
  </si>
  <si>
    <t>侠客岛</t>
  </si>
  <si>
    <t>太玄功</t>
  </si>
  <si>
    <t>无念禅功</t>
  </si>
  <si>
    <t>静念禅宗</t>
  </si>
  <si>
    <t>伏魔杖</t>
  </si>
  <si>
    <t>真言手印</t>
  </si>
  <si>
    <t>如来神掌</t>
  </si>
  <si>
    <t>长生诀</t>
  </si>
  <si>
    <t>彼岸剑法</t>
  </si>
  <si>
    <t>慈航静斋</t>
  </si>
  <si>
    <t>灵犀步</t>
  </si>
  <si>
    <t>慈航剑典</t>
  </si>
  <si>
    <t>阴阳九转</t>
  </si>
  <si>
    <t>阴阳谷</t>
  </si>
  <si>
    <t>战神图录</t>
  </si>
  <si>
    <t>战神殿</t>
  </si>
  <si>
    <t>覆雨剑法</t>
  </si>
  <si>
    <t>天魔策</t>
  </si>
  <si>
    <t>蒙古心法</t>
  </si>
  <si>
    <t>襄阳</t>
  </si>
  <si>
    <t>中平枪法</t>
  </si>
  <si>
    <t>蒙古枪法</t>
  </si>
  <si>
    <t>龙象般若功</t>
  </si>
  <si>
    <t>圆月弯刀</t>
  </si>
  <si>
    <t>伏魔棍</t>
  </si>
  <si>
    <t>唐诗剑法</t>
  </si>
  <si>
    <t>无常杖</t>
  </si>
  <si>
    <t>独孤剑诀</t>
  </si>
  <si>
    <t>太极真义</t>
  </si>
  <si>
    <t>金刚不坏体</t>
  </si>
  <si>
    <t>诸天剑诀</t>
  </si>
  <si>
    <t>神游太虚</t>
  </si>
  <si>
    <t>降龙掌</t>
  </si>
</sst>
</file>

<file path=xl/styles.xml><?xml version="1.0" encoding="utf-8"?>
<styleSheet xmlns="http://schemas.openxmlformats.org/spreadsheetml/2006/main">
  <numFmts count="6">
    <numFmt numFmtId="0" formatCode="General"/>
    <numFmt numFmtId="164" formatCode="0_ "/>
    <numFmt numFmtId="9" formatCode="0%"/>
    <numFmt numFmtId="165" formatCode="0.00_ "/>
    <numFmt numFmtId="11" formatCode="0.00E+00"/>
    <numFmt numFmtId="10" formatCode="0.00%"/>
  </numFmts>
  <fonts count="5">
    <font>
      <name val="宋体"/>
      <sz val="11"/>
    </font>
    <font>
      <name val="宋体"/>
      <b/>
      <charset val="134"/>
      <sz val="11"/>
      <color rgb="FF000000"/>
    </font>
    <font>
      <name val="宋体"/>
      <charset val="134"/>
      <sz val="11"/>
      <color rgb="FF000000"/>
    </font>
    <font>
      <name val="微软雅黑"/>
      <charset val="134"/>
      <sz val="10"/>
      <color rgb="FF000000"/>
    </font>
    <font>
      <name val="微软雅黑"/>
      <b/>
      <charset val="134"/>
      <sz val="10"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ill="1" applyAlignment="1">
      <alignment horizontal="center" vertical="center"/>
    </xf>
    <xf numFmtId="0" fontId="2" fillId="0" borderId="0" xfId="0">
      <alignment vertical="center"/>
    </xf>
    <xf numFmtId="0" fontId="2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1" xfId="0" applyBorder="1">
      <alignment vertical="center"/>
    </xf>
    <xf numFmtId="0" fontId="2" fillId="0" borderId="1" xfId="0" applyBorder="1" applyAlignment="1">
      <alignment horizontal="center" vertical="center"/>
    </xf>
    <xf numFmtId="164" fontId="2" fillId="4" borderId="1" xfId="0" applyNumberFormat="1" applyFill="1" applyBorder="1" applyAlignment="1">
      <alignment horizontal="center" vertical="center"/>
    </xf>
    <xf numFmtId="0" fontId="2" fillId="3" borderId="1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2" fillId="4" borderId="1" xfId="0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0" fontId="2" fillId="3" borderId="1" xfId="0" applyFill="1" applyBorder="1">
      <alignment vertical="center"/>
    </xf>
    <xf numFmtId="11" fontId="2" fillId="4" borderId="1" xfId="0" applyNumberFormat="1" applyFill="1" applyBorder="1">
      <alignment vertical="center"/>
    </xf>
    <xf numFmtId="10" fontId="2" fillId="4" borderId="1" xfId="0" applyNumberForma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9" fontId="2" fillId="0" borderId="0" xfId="0" applyNumberFormat="1" applyAlignment="1">
      <alignment horizontal="center" vertical="center"/>
    </xf>
    <xf numFmtId="0" fontId="2" fillId="5" borderId="1" xfId="0" applyFill="1" applyBorder="1" applyAlignment="1">
      <alignment horizontal="center" vertical="center"/>
    </xf>
    <xf numFmtId="0" fontId="2" fillId="6" borderId="1" xfId="0" applyFill="1" applyBorder="1" applyAlignment="1">
      <alignment horizontal="center" vertical="center"/>
    </xf>
    <xf numFmtId="0" fontId="2" fillId="7" borderId="1" xfId="0" applyFill="1" applyBorder="1" applyAlignment="1">
      <alignment horizontal="center" vertical="center"/>
    </xf>
    <xf numFmtId="0" fontId="2" fillId="8" borderId="1" xfId="0" applyFill="1" applyBorder="1" applyAlignment="1">
      <alignment horizontal="center" vertical="center"/>
    </xf>
    <xf numFmtId="0" fontId="2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43"/>
  <sheetViews>
    <sheetView tabSelected="1" workbookViewId="0" topLeftCell="M1" zoomScale="104">
      <selection activeCell="P6" sqref="P6"/>
    </sheetView>
  </sheetViews>
  <sheetFormatPr defaultRowHeight="13.5" defaultColWidth="9"/>
  <cols>
    <col min="1" max="1" customWidth="1" width="8.375" style="0"/>
    <col min="2" max="2" customWidth="0" width="12.625" style="0"/>
    <col min="3" max="3" customWidth="1" width="5.2890625" style="0"/>
    <col min="4" max="5" customWidth="1" width="4.3984375" style="0"/>
    <col min="6" max="6" customWidth="1" width="7.875" style="0"/>
    <col min="7" max="7" customWidth="1" width="11.5" style="0"/>
    <col min="8" max="8" customWidth="1" width="7.875" style="0"/>
    <col min="9" max="9" customWidth="1" width="12.625" style="0"/>
    <col min="10" max="10" customWidth="1" width="10.375" style="0"/>
    <col min="11" max="11" customWidth="1" width="16.625" style="0"/>
    <col min="12" max="13" customWidth="1" width="4.546875" style="0"/>
    <col min="14" max="14" customWidth="1" width="14.0" style="0"/>
    <col min="15" max="15" customWidth="1" width="11.625" style="0"/>
    <col min="16" max="16" customWidth="0" width="11.5" style="0"/>
    <col min="17" max="18" customWidth="1" width="3.671875" style="0"/>
    <col min="19" max="20" customWidth="1" width="5.125" style="0"/>
    <col min="21" max="21" customWidth="1" width="5.375" style="0"/>
    <col min="22" max="22" customWidth="1" width="12.625" style="0"/>
    <col min="23" max="23" customWidth="1" width="11.5" style="0"/>
    <col min="24" max="24" customWidth="1" width="8.875" style="0"/>
  </cols>
  <sheetData>
    <row r="1" spans="8:8" ht="35.0" customHeight="1">
      <c r="A1" s="1" t="s">
        <v>0</v>
      </c>
    </row>
    <row r="2" spans="8:8" ht="23.0" customHeight="1">
      <c r="A2" s="2" t="s">
        <v>1</v>
      </c>
      <c r="B2" s="2"/>
      <c r="C2" s="3"/>
      <c r="D2" s="4"/>
      <c r="E2" s="4"/>
      <c r="F2" s="2" t="s">
        <v>2</v>
      </c>
      <c r="G2" s="2"/>
      <c r="H2" s="5"/>
      <c r="I2" s="5"/>
      <c r="J2" s="5"/>
      <c r="N2" s="6" t="s">
        <v>3</v>
      </c>
      <c r="O2" s="7"/>
      <c r="P2" s="7"/>
      <c r="S2" s="6" t="s">
        <v>4</v>
      </c>
      <c r="T2" s="6"/>
      <c r="U2" s="6"/>
      <c r="V2" s="6"/>
      <c r="W2" s="6"/>
      <c r="X2" s="6"/>
    </row>
    <row r="3" spans="8:8" ht="16.5">
      <c r="A3" s="8" t="s">
        <v>5</v>
      </c>
      <c r="B3" s="8" t="s">
        <v>6</v>
      </c>
      <c r="D3" s="5"/>
      <c r="E3" s="5"/>
      <c r="F3" s="8" t="s">
        <v>7</v>
      </c>
      <c r="G3" s="9">
        <v>700.0</v>
      </c>
      <c r="H3" s="5"/>
      <c r="I3" s="5"/>
      <c r="J3" s="5"/>
      <c r="S3" s="10" t="s">
        <v>8</v>
      </c>
      <c r="T3" s="10" t="s">
        <v>9</v>
      </c>
      <c r="U3" s="10" t="s">
        <v>10</v>
      </c>
      <c r="V3" s="10"/>
      <c r="W3" s="10" t="s">
        <v>11</v>
      </c>
      <c r="X3" s="10"/>
    </row>
    <row r="4" spans="8:8" ht="16.5">
      <c r="A4" s="9">
        <v>30.0</v>
      </c>
      <c r="B4" s="9">
        <v>3000.0</v>
      </c>
      <c r="D4" s="5"/>
      <c r="E4" s="5"/>
      <c r="F4" s="8" t="s">
        <v>12</v>
      </c>
      <c r="G4" s="11">
        <v>2.0E8</v>
      </c>
      <c r="H4" s="5"/>
      <c r="I4" s="5"/>
      <c r="J4" s="5"/>
      <c r="N4" s="10" t="s">
        <v>13</v>
      </c>
      <c r="O4" s="12"/>
      <c r="P4" s="12"/>
      <c r="S4" s="10"/>
      <c r="T4" s="10"/>
      <c r="U4" s="10" t="s">
        <v>14</v>
      </c>
      <c r="V4" s="10" t="s">
        <v>15</v>
      </c>
      <c r="W4" s="10" t="s">
        <v>12</v>
      </c>
      <c r="X4" s="10" t="s">
        <v>16</v>
      </c>
    </row>
    <row r="5" spans="8:8" ht="16.5">
      <c r="A5" s="8" t="s">
        <v>17</v>
      </c>
      <c r="B5" s="8" t="s">
        <v>18</v>
      </c>
      <c r="D5" s="5"/>
      <c r="E5" s="5"/>
      <c r="F5" s="8" t="s">
        <v>19</v>
      </c>
      <c r="G5" s="11">
        <f>G4/10000*G3</f>
        <v>1.4E7</v>
      </c>
      <c r="H5" s="5"/>
      <c r="I5" s="5"/>
      <c r="J5" s="5"/>
      <c r="K5" s="13"/>
      <c r="N5" s="14"/>
      <c r="O5" s="10" t="s">
        <v>20</v>
      </c>
      <c r="P5" s="10" t="s">
        <v>21</v>
      </c>
      <c r="S5" s="10" t="s">
        <v>22</v>
      </c>
      <c r="T5" s="10">
        <v>1.0</v>
      </c>
      <c r="U5" s="15">
        <v>2024.0</v>
      </c>
      <c r="V5" s="16">
        <f t="shared" si="0" ref="V5:V11">POWER(U5,3)/(T5*10)</f>
        <v>8.291469824E8</v>
      </c>
      <c r="W5" s="15"/>
      <c r="X5" s="16">
        <f t="shared" si="1" ref="X5:X11">POWER(W5*T5*10,1/3)</f>
        <v>0.0</v>
      </c>
    </row>
    <row r="6" spans="8:8" ht="16.0">
      <c r="A6" s="9">
        <v>42.0</v>
      </c>
      <c r="B6" s="9">
        <v>823.0</v>
      </c>
      <c r="D6" s="5"/>
      <c r="E6" s="5"/>
      <c r="F6" s="5"/>
      <c r="G6" s="5"/>
      <c r="H6" s="5"/>
      <c r="I6" s="5"/>
      <c r="J6" s="5"/>
      <c r="L6" s="13"/>
      <c r="M6" s="13"/>
      <c r="N6" s="14"/>
      <c r="O6" s="17">
        <v>1.0</v>
      </c>
      <c r="P6" s="15">
        <v>60.0</v>
      </c>
      <c r="S6" s="10" t="s">
        <v>23</v>
      </c>
      <c r="T6" s="10">
        <v>2.0</v>
      </c>
      <c r="U6" s="15"/>
      <c r="V6" s="16">
        <f t="shared" si="0"/>
        <v>0.0</v>
      </c>
      <c r="W6" s="15"/>
      <c r="X6" s="16">
        <f t="shared" si="1"/>
        <v>0.0</v>
      </c>
    </row>
    <row r="7" spans="8:8" ht="16.5">
      <c r="A7" s="8" t="s">
        <v>24</v>
      </c>
      <c r="B7" s="8" t="s">
        <v>25</v>
      </c>
      <c r="D7" s="5"/>
      <c r="E7" s="5"/>
      <c r="F7" s="2" t="s">
        <v>26</v>
      </c>
      <c r="G7" s="2"/>
      <c r="H7" s="2"/>
      <c r="I7" s="2"/>
      <c r="J7" s="5"/>
      <c r="K7" s="5"/>
      <c r="N7" s="18" t="s">
        <v>27</v>
      </c>
      <c r="O7" s="19">
        <f>O6*100000</f>
        <v>100000.0</v>
      </c>
      <c r="P7" s="19">
        <f>P6*100000</f>
        <v>6000000.0</v>
      </c>
      <c r="S7" s="10" t="s">
        <v>28</v>
      </c>
      <c r="T7" s="10">
        <v>3.0</v>
      </c>
      <c r="U7" s="15">
        <v>3859.0</v>
      </c>
      <c r="V7" s="16">
        <f t="shared" si="0"/>
        <v>1.9155922926333334E9</v>
      </c>
      <c r="W7" s="15"/>
      <c r="X7" s="16">
        <f t="shared" si="1"/>
        <v>0.0</v>
      </c>
    </row>
    <row r="8" spans="8:8" ht="16.5">
      <c r="A8" s="9">
        <v>15.0</v>
      </c>
      <c r="B8" s="9">
        <v>4071.0</v>
      </c>
      <c r="D8" s="5"/>
      <c r="E8" s="5"/>
      <c r="F8" s="8" t="s">
        <v>29</v>
      </c>
      <c r="G8" s="8" t="s">
        <v>30</v>
      </c>
      <c r="H8" s="8" t="s">
        <v>31</v>
      </c>
      <c r="I8" s="8" t="s">
        <v>32</v>
      </c>
      <c r="J8" s="5"/>
      <c r="K8" s="5"/>
      <c r="L8" s="5"/>
      <c r="M8" s="5"/>
      <c r="N8" s="18" t="s">
        <v>33</v>
      </c>
      <c r="O8" s="19">
        <f>(O7+P7)*((P6-O6+1)/2)</f>
        <v>1.83E8</v>
      </c>
      <c r="P8" s="19"/>
      <c r="S8" s="10" t="s">
        <v>34</v>
      </c>
      <c r="T8" s="10">
        <v>4.0</v>
      </c>
      <c r="U8" s="15">
        <v>6100.0</v>
      </c>
      <c r="V8" s="16">
        <f t="shared" si="0"/>
        <v>5.674525E9</v>
      </c>
      <c r="W8" s="15"/>
      <c r="X8" s="16">
        <f t="shared" si="1"/>
        <v>0.0</v>
      </c>
    </row>
    <row r="9" spans="8:8" ht="15.85">
      <c r="D9" s="5"/>
      <c r="E9" s="5"/>
      <c r="F9" s="9">
        <v>60.0</v>
      </c>
      <c r="G9" s="9">
        <v>7699.0</v>
      </c>
      <c r="H9" s="20">
        <v>6.83</v>
      </c>
      <c r="I9" s="11">
        <f>(F9+G9)*(1+H9-0.01*F9)</f>
        <v>56097.57</v>
      </c>
      <c r="J9" s="5"/>
      <c r="K9" s="5"/>
      <c r="L9" s="5"/>
      <c r="M9" s="5"/>
      <c r="N9" s="18" t="s">
        <v>35</v>
      </c>
      <c r="O9" s="15">
        <v>1.0</v>
      </c>
      <c r="P9" s="14"/>
      <c r="S9" s="10" t="s">
        <v>36</v>
      </c>
      <c r="T9" s="10">
        <v>5.0</v>
      </c>
      <c r="U9" s="15">
        <v>2900.0</v>
      </c>
      <c r="V9" s="16">
        <f t="shared" si="0"/>
        <v>4.8778E8</v>
      </c>
      <c r="W9" s="15">
        <v>4.278513624E9</v>
      </c>
      <c r="X9" s="16">
        <f t="shared" si="1"/>
        <v>5980.731531705658</v>
      </c>
    </row>
    <row r="10" spans="8:8" ht="16.5">
      <c r="A10" s="6" t="s">
        <v>37</v>
      </c>
      <c r="B10" s="6"/>
      <c r="D10" s="5"/>
      <c r="E10" s="5"/>
      <c r="F10" s="8" t="s">
        <v>38</v>
      </c>
      <c r="G10" s="9">
        <v>3.48110663E9</v>
      </c>
      <c r="H10" s="8" t="s">
        <v>39</v>
      </c>
      <c r="I10" s="21">
        <f>G10/(I9/5)/3600</f>
        <v>86.18680487308889</v>
      </c>
      <c r="J10" s="5"/>
      <c r="K10" s="5"/>
      <c r="L10" s="5"/>
      <c r="M10" s="5"/>
      <c r="N10" s="18" t="s">
        <v>40</v>
      </c>
      <c r="O10" s="19">
        <f>O8*O9</f>
        <v>1.83E8</v>
      </c>
      <c r="P10" s="14"/>
      <c r="S10" s="10" t="s">
        <v>41</v>
      </c>
      <c r="T10" s="10">
        <v>6.0</v>
      </c>
      <c r="U10" s="15">
        <v>4839.0</v>
      </c>
      <c r="V10" s="16">
        <f t="shared" si="0"/>
        <v>1.88849402865E9</v>
      </c>
      <c r="W10" s="15">
        <v>1.888639737E9</v>
      </c>
      <c r="X10" s="16">
        <f t="shared" si="1"/>
        <v>4839.124449175192</v>
      </c>
    </row>
    <row r="11" spans="8:8" ht="16.5">
      <c r="A11" s="22" t="s">
        <v>42</v>
      </c>
      <c r="B11" s="11">
        <f>A4*1+B4*(A4/10)</f>
        <v>9030.0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S11" s="10" t="s">
        <v>43</v>
      </c>
      <c r="T11" s="10">
        <v>6.0</v>
      </c>
      <c r="U11" s="15"/>
      <c r="V11" s="16">
        <f t="shared" si="0"/>
        <v>0.0</v>
      </c>
      <c r="W11" s="15"/>
      <c r="X11" s="16">
        <f t="shared" si="1"/>
        <v>0.0</v>
      </c>
    </row>
    <row r="12" spans="8:8" ht="16.5">
      <c r="A12" s="22" t="s">
        <v>44</v>
      </c>
      <c r="B12" s="11">
        <f>A4*0.5+B4*(A4/10)</f>
        <v>9015.0</v>
      </c>
      <c r="C12" s="5"/>
      <c r="D12" s="5"/>
      <c r="E12" s="5"/>
      <c r="F12" s="23" t="s">
        <v>45</v>
      </c>
      <c r="G12" s="23"/>
      <c r="H12" s="23"/>
      <c r="I12" s="23"/>
      <c r="J12" s="23"/>
      <c r="K12" s="23"/>
      <c r="L12" s="5"/>
      <c r="M12" s="5"/>
      <c r="N12" s="10" t="s">
        <v>46</v>
      </c>
      <c r="O12" s="12"/>
    </row>
    <row r="13" spans="8:8" ht="16.5">
      <c r="A13" s="22" t="s">
        <v>47</v>
      </c>
      <c r="B13" s="11">
        <f>3.4-(A6-15)*0.04</f>
        <v>2.32</v>
      </c>
      <c r="C13" s="24" t="s">
        <v>48</v>
      </c>
      <c r="F13" s="8" t="s">
        <v>49</v>
      </c>
      <c r="G13" s="8" t="s">
        <v>50</v>
      </c>
      <c r="H13" s="8" t="s">
        <v>27</v>
      </c>
      <c r="I13" s="8" t="s">
        <v>51</v>
      </c>
      <c r="J13" s="8" t="s">
        <v>33</v>
      </c>
      <c r="K13" s="8" t="s">
        <v>39</v>
      </c>
      <c r="L13" s="25"/>
      <c r="M13" s="25"/>
      <c r="N13" s="10" t="s">
        <v>52</v>
      </c>
      <c r="O13" s="19">
        <f>(300+8*O15)*O14</f>
        <v>3.6936E7</v>
      </c>
    </row>
    <row r="14" spans="8:8" ht="16.0">
      <c r="A14" s="22" t="s">
        <v>53</v>
      </c>
      <c r="B14" s="11">
        <f>A6*0.1</f>
        <v>4.2</v>
      </c>
      <c r="C14" s="5"/>
      <c r="F14" s="8" t="s">
        <v>54</v>
      </c>
      <c r="G14" s="9">
        <v>100.0</v>
      </c>
      <c r="H14" s="11">
        <f>2+(G14-1)*5</f>
        <v>497.0</v>
      </c>
      <c r="I14" s="9">
        <v>10000.0</v>
      </c>
      <c r="J14" s="11">
        <f>(I14-G14)*2+5*((I14*(I14-1)/2)-(G14*(G14-1)/2))</f>
        <v>2.4997005E8</v>
      </c>
      <c r="K14" s="21">
        <f t="shared" si="2" ref="K14:K20">J14/($I$9/5)/3600</f>
        <v>6.188871015268576</v>
      </c>
      <c r="L14" s="25"/>
      <c r="M14" s="25"/>
      <c r="N14" s="10" t="s">
        <v>55</v>
      </c>
      <c r="O14" s="15">
        <v>7600.0</v>
      </c>
    </row>
    <row r="15" spans="8:8" ht="16.0">
      <c r="A15" s="22" t="s">
        <v>56</v>
      </c>
      <c r="B15" s="11">
        <f>0.5*A6</f>
        <v>21.0</v>
      </c>
      <c r="C15" s="5"/>
      <c r="F15" s="8" t="s">
        <v>57</v>
      </c>
      <c r="G15" s="9">
        <v>1.0</v>
      </c>
      <c r="H15" s="11">
        <f>5+(G15-1)*10</f>
        <v>5.0</v>
      </c>
      <c r="I15" s="9">
        <v>1582.0</v>
      </c>
      <c r="J15" s="11">
        <f>(I15-G15)*5+10*((I15*(I15-1)/2)-(G15*(G15-1)/2))</f>
        <v>1.2513615E7</v>
      </c>
      <c r="K15" s="21">
        <f t="shared" si="2"/>
        <v>0.3098177128409187</v>
      </c>
      <c r="L15" s="25"/>
      <c r="M15" s="25"/>
      <c r="N15" s="10" t="s">
        <v>58</v>
      </c>
      <c r="O15" s="15">
        <v>570.0</v>
      </c>
    </row>
    <row r="16" spans="8:8" ht="16.5">
      <c r="A16" s="22" t="s">
        <v>59</v>
      </c>
      <c r="B16" s="11">
        <f>0.5*A6</f>
        <v>21.0</v>
      </c>
      <c r="C16" s="5"/>
      <c r="F16" s="8" t="s">
        <v>60</v>
      </c>
      <c r="G16" s="9">
        <v>100.0</v>
      </c>
      <c r="H16" s="11">
        <f>7+(G16-1)*15</f>
        <v>1492.0</v>
      </c>
      <c r="I16" s="9">
        <v>1400.0</v>
      </c>
      <c r="J16" s="11">
        <f>(I16-G16)*7+15*((I16*(I16-1)/2)-(G16*(G16-1)/2))</f>
        <v>1.462435E7</v>
      </c>
      <c r="K16" s="21">
        <f t="shared" si="2"/>
        <v>0.36207624006213146</v>
      </c>
      <c r="L16" s="5"/>
      <c r="M16" s="5"/>
    </row>
    <row r="17" spans="8:8" ht="16.5">
      <c r="A17" s="22" t="s">
        <v>61</v>
      </c>
      <c r="B17" s="11">
        <f>A8*5+B8*5</f>
        <v>20430.0</v>
      </c>
      <c r="C17" s="5"/>
      <c r="F17" s="8" t="s">
        <v>62</v>
      </c>
      <c r="G17" s="9">
        <v>100.0</v>
      </c>
      <c r="H17" s="11">
        <f>10+(G17-1)*20</f>
        <v>1990.0</v>
      </c>
      <c r="I17" s="9">
        <v>3000.0</v>
      </c>
      <c r="J17" s="11">
        <f>(I17-G17)*10+20*((I17*(I17-1)/2)-(G17*(G17-1)/2))</f>
        <v>8.99E7</v>
      </c>
      <c r="K17" s="21">
        <f t="shared" si="2"/>
        <v>2.225784666093578</v>
      </c>
      <c r="L17" s="5"/>
      <c r="M17" s="5"/>
      <c r="N17" s="10" t="s">
        <v>63</v>
      </c>
      <c r="O17" s="12"/>
      <c r="P17" t="s">
        <v>64</v>
      </c>
    </row>
    <row r="18" spans="8:8" ht="16.5">
      <c r="A18" s="22" t="s">
        <v>65</v>
      </c>
      <c r="B18" s="11">
        <f>B8*(A8/10)</f>
        <v>6106.5</v>
      </c>
      <c r="C18" s="5"/>
      <c r="D18" s="5"/>
      <c r="E18" s="5"/>
      <c r="F18" s="8" t="s">
        <v>66</v>
      </c>
      <c r="G18" s="9">
        <v>100.0</v>
      </c>
      <c r="H18" s="11">
        <f>12+(G18-1)*25</f>
        <v>2487.0</v>
      </c>
      <c r="I18" s="9">
        <v>5800.0</v>
      </c>
      <c r="J18" s="11">
        <f>(I18-G18)*12+25*((I18*(I18-1)/2)-(G18*(G18-1)/2))</f>
        <v>4.2037215E8</v>
      </c>
      <c r="K18" s="21">
        <f t="shared" si="2"/>
        <v>10.40776290904104</v>
      </c>
      <c r="L18" s="5"/>
      <c r="M18" s="5"/>
      <c r="N18" s="26" t="s">
        <v>9</v>
      </c>
      <c r="O18" s="27">
        <f>0.000025</f>
        <v>2.5E-5</v>
      </c>
    </row>
    <row r="19" spans="8:8" ht="16.5">
      <c r="F19" s="8" t="s">
        <v>67</v>
      </c>
      <c r="G19" s="9">
        <v>4000.0</v>
      </c>
      <c r="H19" s="11">
        <f>15+(G19-1)*30</f>
        <v>119985.0</v>
      </c>
      <c r="I19" s="9">
        <v>5000.0</v>
      </c>
      <c r="J19" s="11">
        <f>(I19-G19)*15+30*((I19*(I19-1)/2)-(G19*(G19-1)/2))</f>
        <v>1.35E8</v>
      </c>
      <c r="K19" s="21">
        <f t="shared" si="2"/>
        <v>3.342390766658877</v>
      </c>
      <c r="L19" s="5"/>
      <c r="M19" s="5"/>
      <c r="N19" s="26" t="s">
        <v>9</v>
      </c>
      <c r="O19" s="27">
        <f>0.0025</f>
        <v>0.0025</v>
      </c>
    </row>
    <row r="20" spans="8:8" ht="16.5">
      <c r="A20" s="8" t="s">
        <v>68</v>
      </c>
      <c r="B20" s="8"/>
      <c r="F20" s="8" t="s">
        <v>69</v>
      </c>
      <c r="G20" s="9">
        <v>4900.0</v>
      </c>
      <c r="H20" s="11">
        <f>20+(G20-1)*35</f>
        <v>171485.0</v>
      </c>
      <c r="I20" s="9">
        <v>5000.0</v>
      </c>
      <c r="J20" s="11">
        <f>(I20-G20)*20+35*((I20*(I20-1)/2)-(G20*(G20-1)/2))</f>
        <v>1.732525E7</v>
      </c>
      <c r="K20" s="21">
        <f t="shared" si="2"/>
        <v>0.42894633800042004</v>
      </c>
      <c r="L20" s="24"/>
      <c r="M20" s="24"/>
      <c r="N20" s="26" t="s">
        <v>70</v>
      </c>
      <c r="O20" s="14">
        <v>100.0</v>
      </c>
    </row>
    <row r="21" spans="8:8" ht="16.5">
      <c r="A21" s="8" t="s">
        <v>52</v>
      </c>
      <c r="B21" s="9">
        <v>211450.0</v>
      </c>
      <c r="L21" s="5"/>
      <c r="M21" s="5"/>
      <c r="N21" s="26" t="s">
        <v>71</v>
      </c>
      <c r="O21" s="14">
        <v>1000.0</v>
      </c>
    </row>
    <row r="22" spans="8:8" ht="16.5">
      <c r="A22" s="8" t="s">
        <v>72</v>
      </c>
      <c r="B22" s="11">
        <f>B21/100+((A8*B8)/10)</f>
        <v>8221.0</v>
      </c>
      <c r="L22" s="5"/>
      <c r="M22" s="5"/>
      <c r="N22" s="26" t="s">
        <v>73</v>
      </c>
      <c r="O22" s="28">
        <f>(4+((O19+O18*O20)*O21))/100</f>
        <v>0.09</v>
      </c>
    </row>
    <row r="23" spans="8:8" ht="16.5">
      <c r="L23" s="5"/>
      <c r="M23" s="5"/>
    </row>
    <row r="24" spans="8:8" ht="16.5">
      <c r="L24" s="5"/>
      <c r="M24" s="5"/>
      <c r="N24" s="29" t="s">
        <v>74</v>
      </c>
      <c r="O24" s="30"/>
    </row>
    <row r="25" spans="8:8" ht="16.5">
      <c r="L25" s="5"/>
      <c r="M25" s="5"/>
      <c r="N25" s="18" t="s">
        <v>58</v>
      </c>
      <c r="O25" s="14">
        <v>470.0</v>
      </c>
    </row>
    <row r="26" spans="8:8" ht="16.5">
      <c r="L26" s="5"/>
      <c r="M26" s="5"/>
      <c r="N26" s="18" t="s">
        <v>73</v>
      </c>
      <c r="O26" s="28">
        <f>(6+((O25-10)/10))/100</f>
        <v>0.52</v>
      </c>
    </row>
    <row r="27" spans="8:8" ht="16.5">
      <c r="L27" s="5"/>
      <c r="M27" s="5"/>
    </row>
    <row r="28" spans="8:8">
      <c r="N28" s="10" t="s">
        <v>75</v>
      </c>
      <c r="O28" s="12"/>
    </row>
    <row r="29" spans="8:8">
      <c r="N29" s="18" t="s">
        <v>73</v>
      </c>
      <c r="O29" s="28">
        <f>(O30)/3*0.1%+0.5%</f>
        <v>0.049999999999999996</v>
      </c>
    </row>
    <row r="30" spans="8:8">
      <c r="N30" s="18" t="s">
        <v>70</v>
      </c>
      <c r="O30" s="14">
        <v>135.0</v>
      </c>
    </row>
    <row r="31" spans="8:8">
      <c r="O31" s="4"/>
      <c r="P31" s="4"/>
    </row>
    <row r="32" spans="8:8">
      <c r="O32" s="31"/>
      <c r="P32" s="4"/>
    </row>
    <row r="33" spans="8:8">
      <c r="O33" s="4"/>
    </row>
    <row r="34" spans="8:8">
      <c r="O34" s="31"/>
    </row>
    <row r="35" spans="8:8" ht="16.5">
      <c r="D35" s="5"/>
      <c r="E35" s="5"/>
      <c r="F35" s="5"/>
      <c r="G35" s="5"/>
      <c r="H35" s="5"/>
      <c r="I35" s="5"/>
      <c r="J35" s="5"/>
      <c r="K35" s="5"/>
      <c r="O35" s="4"/>
    </row>
    <row r="36" spans="8:8" ht="16.5">
      <c r="D36" s="5"/>
      <c r="E36" s="5"/>
      <c r="F36" s="5"/>
      <c r="G36" s="5"/>
      <c r="H36" s="5"/>
      <c r="I36" s="5"/>
      <c r="J36" s="5"/>
      <c r="K36" s="24"/>
      <c r="O36" s="4"/>
    </row>
    <row r="37" spans="8:8" ht="16.5">
      <c r="D37" s="13"/>
      <c r="E37" s="13"/>
      <c r="F37" s="13"/>
      <c r="G37" s="13"/>
      <c r="H37" s="13"/>
      <c r="I37" s="13"/>
      <c r="J37" s="13"/>
      <c r="K37" s="5"/>
    </row>
    <row r="38" spans="8:8" ht="16.5">
      <c r="D38" s="13"/>
      <c r="E38" s="13"/>
      <c r="F38" s="13"/>
      <c r="G38" s="13"/>
      <c r="H38" s="13"/>
      <c r="I38" s="13"/>
      <c r="J38" s="13"/>
      <c r="K38" s="5"/>
    </row>
    <row r="39" spans="8:8" ht="16.5">
      <c r="D39" s="13"/>
      <c r="E39" s="13"/>
      <c r="F39" s="13"/>
      <c r="G39" s="13"/>
      <c r="H39" s="13"/>
      <c r="I39" s="13"/>
      <c r="J39" s="13"/>
      <c r="K39" s="5"/>
    </row>
    <row r="40" spans="8:8" ht="16.5">
      <c r="D40" s="13"/>
      <c r="E40" s="13"/>
      <c r="F40" s="13"/>
      <c r="G40" s="13"/>
      <c r="H40" s="13"/>
      <c r="I40" s="13"/>
      <c r="J40" s="13"/>
      <c r="K40" s="5"/>
    </row>
    <row r="41" spans="8:8" ht="16.5">
      <c r="D41" s="13"/>
      <c r="E41" s="13"/>
      <c r="F41" s="13"/>
      <c r="G41" s="13"/>
      <c r="H41" s="13"/>
      <c r="I41" s="13"/>
      <c r="J41" s="13"/>
      <c r="K41" s="5"/>
    </row>
    <row r="42" spans="8:8" ht="16.5">
      <c r="D42" s="13"/>
      <c r="E42" s="13"/>
      <c r="F42" s="13"/>
      <c r="G42" s="13"/>
      <c r="H42" s="13"/>
      <c r="I42" s="13"/>
      <c r="J42" s="13"/>
      <c r="K42" s="5"/>
    </row>
    <row r="43" spans="8:8" ht="16.5">
      <c r="D43" s="13"/>
      <c r="E43" s="13"/>
      <c r="F43" s="13"/>
      <c r="G43" s="13"/>
      <c r="H43" s="13"/>
      <c r="I43" s="13"/>
      <c r="J43" s="13"/>
      <c r="K43" s="5"/>
    </row>
  </sheetData>
  <mergeCells count="17">
    <mergeCell ref="S2:X2"/>
    <mergeCell ref="N12:O12"/>
    <mergeCell ref="N24:O24"/>
    <mergeCell ref="N28:O28"/>
    <mergeCell ref="U3:V3"/>
    <mergeCell ref="T3:T4"/>
    <mergeCell ref="N4:P4"/>
    <mergeCell ref="S3:S4"/>
    <mergeCell ref="W3:X3"/>
    <mergeCell ref="A10:B10"/>
    <mergeCell ref="N17:O17"/>
    <mergeCell ref="F2:G2"/>
    <mergeCell ref="A20:B20"/>
    <mergeCell ref="N2:P2"/>
    <mergeCell ref="F7:I7"/>
    <mergeCell ref="A2:B2"/>
    <mergeCell ref="F12:K12"/>
  </mergeCells>
  <pageMargins left="0.699305555555556" right="0.699305555555556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W17"/>
  <sheetViews>
    <sheetView workbookViewId="0">
      <selection activeCell="F23" sqref="F23:F24"/>
    </sheetView>
  </sheetViews>
  <sheetFormatPr defaultRowHeight="13.5" defaultColWidth="9"/>
  <cols>
    <col min="1" max="1" customWidth="1" width="17.125" style="0"/>
    <col min="2" max="5" customWidth="1" width="4.25" style="0"/>
    <col min="6" max="8" customWidth="1" width="4.375" style="0"/>
    <col min="9" max="11" customWidth="1" width="5.375" style="0"/>
    <col min="12" max="14" customWidth="1" width="6.375" style="0"/>
    <col min="16" max="16" customWidth="1" width="7.875" style="0"/>
  </cols>
  <sheetData>
    <row r="1" spans="8:8">
      <c r="A1" s="15" t="s">
        <v>76</v>
      </c>
      <c r="B1" s="15" t="s">
        <v>77</v>
      </c>
      <c r="C1" s="15" t="s">
        <v>78</v>
      </c>
      <c r="D1" s="15" t="s">
        <v>79</v>
      </c>
      <c r="E1" s="15" t="s">
        <v>80</v>
      </c>
      <c r="F1" s="15" t="s">
        <v>81</v>
      </c>
      <c r="G1" s="15" t="s">
        <v>82</v>
      </c>
      <c r="H1" s="15" t="s">
        <v>83</v>
      </c>
      <c r="I1" s="15" t="s">
        <v>84</v>
      </c>
      <c r="J1" s="15" t="s">
        <v>85</v>
      </c>
      <c r="K1" s="15" t="s">
        <v>86</v>
      </c>
      <c r="L1" s="15" t="s">
        <v>87</v>
      </c>
      <c r="M1" s="15" t="s">
        <v>88</v>
      </c>
      <c r="N1" s="15" t="s">
        <v>89</v>
      </c>
    </row>
    <row r="2" spans="8:8">
      <c r="A2" s="32" t="s">
        <v>57</v>
      </c>
      <c r="B2" s="32">
        <v>2.0</v>
      </c>
      <c r="C2" s="32">
        <f>B2*2</f>
        <v>4.0</v>
      </c>
      <c r="D2" s="32">
        <f t="shared" si="0" ref="D2:M2">C2*2</f>
        <v>8.0</v>
      </c>
      <c r="E2" s="32">
        <f t="shared" si="0"/>
        <v>16.0</v>
      </c>
      <c r="F2" s="32">
        <f t="shared" si="0"/>
        <v>32.0</v>
      </c>
      <c r="G2" s="32">
        <f t="shared" si="0"/>
        <v>64.0</v>
      </c>
      <c r="H2" s="32">
        <f t="shared" si="0"/>
        <v>128.0</v>
      </c>
      <c r="I2" s="32">
        <f t="shared" si="0"/>
        <v>256.0</v>
      </c>
      <c r="J2" s="32">
        <f t="shared" si="0"/>
        <v>512.0</v>
      </c>
      <c r="K2" s="32">
        <f t="shared" si="0"/>
        <v>1024.0</v>
      </c>
      <c r="L2" s="32">
        <f t="shared" si="0"/>
        <v>2048.0</v>
      </c>
      <c r="M2" s="32">
        <f t="shared" si="0"/>
        <v>4096.0</v>
      </c>
      <c r="N2" s="32">
        <f t="shared" si="1" ref="N2:N7">SUM(B2:M2)</f>
        <v>8190.0</v>
      </c>
    </row>
    <row r="3" spans="8:8">
      <c r="A3" s="33" t="s">
        <v>60</v>
      </c>
      <c r="B3" s="33">
        <v>4.0</v>
      </c>
      <c r="C3" s="33">
        <f t="shared" si="2" ref="C3:M3">B3*2</f>
        <v>8.0</v>
      </c>
      <c r="D3" s="33">
        <f t="shared" si="2"/>
        <v>16.0</v>
      </c>
      <c r="E3" s="33">
        <f t="shared" si="2"/>
        <v>32.0</v>
      </c>
      <c r="F3" s="33">
        <f t="shared" si="2"/>
        <v>64.0</v>
      </c>
      <c r="G3" s="33">
        <f t="shared" si="2"/>
        <v>128.0</v>
      </c>
      <c r="H3" s="33">
        <f t="shared" si="2"/>
        <v>256.0</v>
      </c>
      <c r="I3" s="33">
        <f t="shared" si="2"/>
        <v>512.0</v>
      </c>
      <c r="J3" s="33">
        <f t="shared" si="2"/>
        <v>1024.0</v>
      </c>
      <c r="K3" s="33">
        <f t="shared" si="2"/>
        <v>2048.0</v>
      </c>
      <c r="L3" s="33">
        <f t="shared" si="2"/>
        <v>4096.0</v>
      </c>
      <c r="M3" s="33">
        <f t="shared" si="2"/>
        <v>8192.0</v>
      </c>
      <c r="N3" s="33">
        <f t="shared" si="1"/>
        <v>16380.0</v>
      </c>
    </row>
    <row r="4" spans="8:8">
      <c r="A4" s="19" t="s">
        <v>62</v>
      </c>
      <c r="B4" s="19">
        <v>6.0</v>
      </c>
      <c r="C4" s="19">
        <f t="shared" si="3" ref="C4:M4">B4*2</f>
        <v>12.0</v>
      </c>
      <c r="D4" s="19">
        <f t="shared" si="3"/>
        <v>24.0</v>
      </c>
      <c r="E4" s="19">
        <f t="shared" si="3"/>
        <v>48.0</v>
      </c>
      <c r="F4" s="19">
        <f t="shared" si="3"/>
        <v>96.0</v>
      </c>
      <c r="G4" s="19">
        <f t="shared" si="3"/>
        <v>192.0</v>
      </c>
      <c r="H4" s="19">
        <f t="shared" si="3"/>
        <v>384.0</v>
      </c>
      <c r="I4" s="19">
        <f t="shared" si="3"/>
        <v>768.0</v>
      </c>
      <c r="J4" s="19">
        <f t="shared" si="3"/>
        <v>1536.0</v>
      </c>
      <c r="K4" s="19">
        <f t="shared" si="3"/>
        <v>3072.0</v>
      </c>
      <c r="L4" s="19">
        <f t="shared" si="3"/>
        <v>6144.0</v>
      </c>
      <c r="M4" s="19">
        <f t="shared" si="3"/>
        <v>12288.0</v>
      </c>
      <c r="N4" s="19">
        <f t="shared" si="1"/>
        <v>24570.0</v>
      </c>
    </row>
    <row r="5" spans="8:8">
      <c r="A5" s="34" t="s">
        <v>66</v>
      </c>
      <c r="B5" s="34">
        <v>8.0</v>
      </c>
      <c r="C5" s="34">
        <f t="shared" si="4" ref="C5:M5">B5*2</f>
        <v>16.0</v>
      </c>
      <c r="D5" s="34">
        <f t="shared" si="4"/>
        <v>32.0</v>
      </c>
      <c r="E5" s="34">
        <f t="shared" si="4"/>
        <v>64.0</v>
      </c>
      <c r="F5" s="34">
        <f t="shared" si="4"/>
        <v>128.0</v>
      </c>
      <c r="G5" s="34">
        <f t="shared" si="4"/>
        <v>256.0</v>
      </c>
      <c r="H5" s="34">
        <f t="shared" si="4"/>
        <v>512.0</v>
      </c>
      <c r="I5" s="34">
        <f t="shared" si="4"/>
        <v>1024.0</v>
      </c>
      <c r="J5" s="34">
        <f t="shared" si="4"/>
        <v>2048.0</v>
      </c>
      <c r="K5" s="34">
        <f t="shared" si="4"/>
        <v>4096.0</v>
      </c>
      <c r="L5" s="34">
        <f t="shared" si="4"/>
        <v>8192.0</v>
      </c>
      <c r="M5" s="34">
        <f t="shared" si="4"/>
        <v>16384.0</v>
      </c>
      <c r="N5" s="34">
        <f t="shared" si="1"/>
        <v>32760.0</v>
      </c>
    </row>
    <row r="6" spans="8:8">
      <c r="A6" s="35" t="s">
        <v>67</v>
      </c>
      <c r="B6" s="35">
        <v>10.0</v>
      </c>
      <c r="C6" s="35">
        <f t="shared" si="5" ref="C6:M6">B6*2</f>
        <v>20.0</v>
      </c>
      <c r="D6" s="35">
        <f t="shared" si="5"/>
        <v>40.0</v>
      </c>
      <c r="E6" s="35">
        <f t="shared" si="5"/>
        <v>80.0</v>
      </c>
      <c r="F6" s="35">
        <f t="shared" si="5"/>
        <v>160.0</v>
      </c>
      <c r="G6" s="35">
        <f t="shared" si="5"/>
        <v>320.0</v>
      </c>
      <c r="H6" s="35">
        <f t="shared" si="5"/>
        <v>640.0</v>
      </c>
      <c r="I6" s="35">
        <f t="shared" si="5"/>
        <v>1280.0</v>
      </c>
      <c r="J6" s="35">
        <f t="shared" si="5"/>
        <v>2560.0</v>
      </c>
      <c r="K6" s="35">
        <f t="shared" si="5"/>
        <v>5120.0</v>
      </c>
      <c r="L6" s="35">
        <f t="shared" si="5"/>
        <v>10240.0</v>
      </c>
      <c r="M6" s="35">
        <f t="shared" si="5"/>
        <v>20480.0</v>
      </c>
      <c r="N6" s="35">
        <f t="shared" si="1"/>
        <v>40950.0</v>
      </c>
    </row>
    <row r="7" spans="8:8">
      <c r="A7" s="36" t="s">
        <v>69</v>
      </c>
      <c r="B7" s="36">
        <v>1.0</v>
      </c>
      <c r="C7" s="36">
        <v>2.0</v>
      </c>
      <c r="D7" s="36">
        <v>3.0</v>
      </c>
      <c r="E7" s="36">
        <v>4.0</v>
      </c>
      <c r="F7" s="36">
        <v>5.0</v>
      </c>
      <c r="G7" s="36">
        <v>6.0</v>
      </c>
      <c r="H7" s="36">
        <v>7.0</v>
      </c>
      <c r="I7" s="36">
        <v>8.0</v>
      </c>
      <c r="J7" s="36">
        <v>9.0</v>
      </c>
      <c r="K7" s="36">
        <v>10.0</v>
      </c>
      <c r="L7" s="36">
        <v>11.0</v>
      </c>
      <c r="M7" s="36">
        <v>12.0</v>
      </c>
      <c r="N7" s="36">
        <f t="shared" si="1"/>
        <v>78.0</v>
      </c>
    </row>
    <row r="11" spans="8:8">
      <c r="A11" s="15" t="s">
        <v>90</v>
      </c>
      <c r="B11" s="15" t="s">
        <v>77</v>
      </c>
      <c r="C11" s="15" t="s">
        <v>78</v>
      </c>
      <c r="D11" s="15" t="s">
        <v>79</v>
      </c>
      <c r="E11" s="15" t="s">
        <v>80</v>
      </c>
    </row>
    <row r="12" spans="8:8">
      <c r="A12" s="32" t="s">
        <v>57</v>
      </c>
      <c r="B12" s="15">
        <v>10.0</v>
      </c>
      <c r="C12" s="15">
        <v>50.0</v>
      </c>
      <c r="D12" s="15">
        <v>100.0</v>
      </c>
      <c r="E12" s="15">
        <v>160.0</v>
      </c>
    </row>
    <row r="13" spans="8:8">
      <c r="A13" s="33" t="s">
        <v>60</v>
      </c>
      <c r="B13" s="15">
        <v>20.0</v>
      </c>
      <c r="C13" s="15">
        <v>60.0</v>
      </c>
      <c r="D13" s="15">
        <v>110.0</v>
      </c>
      <c r="E13" s="15">
        <v>170.0</v>
      </c>
    </row>
    <row r="14" spans="8:8">
      <c r="A14" s="19" t="s">
        <v>62</v>
      </c>
      <c r="B14" s="15">
        <v>30.0</v>
      </c>
      <c r="C14" s="15">
        <v>70.0</v>
      </c>
      <c r="D14" s="15">
        <v>120.0</v>
      </c>
      <c r="E14" s="15">
        <v>180.0</v>
      </c>
    </row>
    <row r="15" spans="8:8">
      <c r="A15" s="34" t="s">
        <v>66</v>
      </c>
      <c r="B15" s="15">
        <v>40.0</v>
      </c>
      <c r="C15" s="15">
        <v>80.0</v>
      </c>
      <c r="D15" s="15">
        <v>130.0</v>
      </c>
      <c r="E15" s="15">
        <v>190.0</v>
      </c>
    </row>
    <row r="16" spans="8:8">
      <c r="A16" s="35" t="s">
        <v>67</v>
      </c>
      <c r="B16" s="15">
        <v>60.0</v>
      </c>
      <c r="C16" s="15">
        <v>100.0</v>
      </c>
      <c r="D16" s="15">
        <v>150.0</v>
      </c>
      <c r="E16" s="15">
        <v>210.0</v>
      </c>
    </row>
    <row r="17" spans="8:8">
      <c r="A17" s="36" t="s">
        <v>69</v>
      </c>
      <c r="B17" s="15">
        <v>110.0</v>
      </c>
      <c r="C17" s="15">
        <v>150.0</v>
      </c>
      <c r="D17" s="15">
        <v>200.0</v>
      </c>
      <c r="E17" s="15">
        <v>260.0</v>
      </c>
    </row>
  </sheetData>
  <pageMargins left="0.699305555555556" right="0.699305555555556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O128"/>
  <sheetViews>
    <sheetView workbookViewId="0" topLeftCell="B1">
      <selection activeCell="H21" sqref="H21"/>
    </sheetView>
  </sheetViews>
  <sheetFormatPr defaultRowHeight="13.5" defaultColWidth="9"/>
  <cols>
    <col min="1" max="1" customWidth="1" width="4.375" style="4"/>
    <col min="2" max="2" customWidth="1" width="10.875" style="0"/>
    <col min="3" max="3" customWidth="1" width="5.125" style="0"/>
    <col min="5" max="6" customWidth="1" width="4.875" style="0"/>
  </cols>
  <sheetData>
    <row r="1" spans="8:8">
      <c r="A1" s="4" t="s">
        <v>91</v>
      </c>
      <c r="B1" s="4" t="s">
        <v>92</v>
      </c>
      <c r="C1" s="4" t="s">
        <v>49</v>
      </c>
      <c r="D1" s="4" t="s">
        <v>93</v>
      </c>
      <c r="E1" s="4" t="s">
        <v>94</v>
      </c>
      <c r="F1" s="4" t="s">
        <v>95</v>
      </c>
    </row>
    <row r="2" spans="8:8">
      <c r="A2" s="4">
        <v>1.0</v>
      </c>
      <c r="B2" t="s">
        <v>96</v>
      </c>
      <c r="C2" s="4" t="s">
        <v>57</v>
      </c>
      <c r="D2" s="4" t="s">
        <v>97</v>
      </c>
      <c r="E2" s="4"/>
    </row>
    <row r="3" spans="8:8">
      <c r="A3" s="4">
        <v>2.0</v>
      </c>
      <c r="B3" t="s">
        <v>98</v>
      </c>
      <c r="C3" s="4" t="s">
        <v>57</v>
      </c>
      <c r="D3" s="4" t="s">
        <v>99</v>
      </c>
      <c r="E3" s="4"/>
    </row>
    <row r="4" spans="8:8">
      <c r="A4" s="4">
        <v>3.0</v>
      </c>
      <c r="B4" t="s">
        <v>100</v>
      </c>
      <c r="C4" s="4" t="s">
        <v>57</v>
      </c>
      <c r="D4" s="4" t="s">
        <v>99</v>
      </c>
      <c r="E4" s="4"/>
    </row>
    <row r="5" spans="8:8">
      <c r="A5" s="4">
        <v>4.0</v>
      </c>
      <c r="B5" t="s">
        <v>101</v>
      </c>
      <c r="C5" s="4" t="s">
        <v>57</v>
      </c>
      <c r="D5" s="4" t="s">
        <v>102</v>
      </c>
      <c r="E5" s="4"/>
    </row>
    <row r="6" spans="8:8">
      <c r="A6" s="4">
        <v>5.0</v>
      </c>
      <c r="B6" t="s">
        <v>103</v>
      </c>
      <c r="C6" s="4" t="s">
        <v>57</v>
      </c>
      <c r="D6" s="4" t="s">
        <v>102</v>
      </c>
      <c r="E6" s="4"/>
    </row>
    <row r="7" spans="8:8">
      <c r="A7" s="4">
        <v>6.0</v>
      </c>
      <c r="B7" t="s">
        <v>104</v>
      </c>
      <c r="C7" s="4" t="s">
        <v>57</v>
      </c>
      <c r="D7" s="4" t="s">
        <v>102</v>
      </c>
      <c r="E7" s="4"/>
    </row>
    <row r="8" spans="8:8">
      <c r="A8" s="4">
        <v>7.0</v>
      </c>
      <c r="B8" t="s">
        <v>105</v>
      </c>
      <c r="C8" s="4" t="s">
        <v>57</v>
      </c>
      <c r="D8" s="4" t="s">
        <v>102</v>
      </c>
      <c r="E8" s="4"/>
    </row>
    <row r="9" spans="8:8">
      <c r="A9" s="4">
        <v>8.0</v>
      </c>
      <c r="B9" t="s">
        <v>106</v>
      </c>
      <c r="C9" s="4" t="s">
        <v>57</v>
      </c>
      <c r="D9" s="4" t="s">
        <v>107</v>
      </c>
      <c r="E9" s="4"/>
    </row>
    <row r="10" spans="8:8">
      <c r="A10" s="4">
        <v>9.0</v>
      </c>
      <c r="B10" t="s">
        <v>108</v>
      </c>
      <c r="C10" s="4" t="s">
        <v>57</v>
      </c>
      <c r="D10" s="4" t="s">
        <v>107</v>
      </c>
      <c r="E10" s="4"/>
    </row>
    <row r="11" spans="8:8">
      <c r="A11" s="4">
        <v>10.0</v>
      </c>
      <c r="B11" t="s">
        <v>109</v>
      </c>
      <c r="C11" s="4" t="s">
        <v>57</v>
      </c>
      <c r="D11" s="4" t="s">
        <v>107</v>
      </c>
      <c r="E11" s="4"/>
    </row>
    <row r="12" spans="8:8">
      <c r="A12" s="4">
        <v>11.0</v>
      </c>
      <c r="B12" t="s">
        <v>110</v>
      </c>
      <c r="C12" s="4" t="s">
        <v>57</v>
      </c>
      <c r="D12" s="4" t="s">
        <v>107</v>
      </c>
      <c r="E12" s="4"/>
    </row>
    <row r="13" spans="8:8">
      <c r="A13" s="4">
        <v>12.0</v>
      </c>
      <c r="B13" t="s">
        <v>111</v>
      </c>
      <c r="C13" s="4" t="s">
        <v>57</v>
      </c>
      <c r="D13" s="4" t="s">
        <v>107</v>
      </c>
      <c r="E13" s="4"/>
    </row>
    <row r="14" spans="8:8">
      <c r="A14" s="4">
        <v>13.0</v>
      </c>
      <c r="B14" t="s">
        <v>112</v>
      </c>
      <c r="C14" s="4" t="s">
        <v>57</v>
      </c>
      <c r="D14" s="4" t="s">
        <v>107</v>
      </c>
      <c r="E14" s="4"/>
    </row>
    <row r="15" spans="8:8">
      <c r="A15" s="4">
        <v>14.0</v>
      </c>
      <c r="B15" t="s">
        <v>113</v>
      </c>
      <c r="C15" s="4" t="s">
        <v>60</v>
      </c>
      <c r="D15" s="4" t="s">
        <v>107</v>
      </c>
      <c r="E15" s="4"/>
    </row>
    <row r="16" spans="8:8">
      <c r="A16" s="4">
        <v>15.0</v>
      </c>
      <c r="B16" t="s">
        <v>114</v>
      </c>
      <c r="C16" s="4" t="s">
        <v>60</v>
      </c>
      <c r="D16" s="4" t="s">
        <v>107</v>
      </c>
      <c r="E16" s="4"/>
    </row>
    <row r="17" spans="8:8">
      <c r="A17" s="4">
        <v>16.0</v>
      </c>
      <c r="B17" t="s">
        <v>115</v>
      </c>
      <c r="C17" s="4" t="s">
        <v>60</v>
      </c>
      <c r="D17" s="4" t="s">
        <v>116</v>
      </c>
      <c r="E17" s="4"/>
    </row>
    <row r="18" spans="8:8">
      <c r="A18" s="4">
        <v>17.0</v>
      </c>
      <c r="B18" t="s">
        <v>117</v>
      </c>
      <c r="C18" s="4" t="s">
        <v>60</v>
      </c>
      <c r="D18" s="4" t="s">
        <v>116</v>
      </c>
      <c r="E18" s="4"/>
    </row>
    <row r="19" spans="8:8">
      <c r="A19" s="4">
        <v>18.0</v>
      </c>
      <c r="B19" t="s">
        <v>118</v>
      </c>
      <c r="C19" s="4" t="s">
        <v>57</v>
      </c>
      <c r="D19" s="4" t="s">
        <v>116</v>
      </c>
      <c r="E19" s="4"/>
    </row>
    <row r="20" spans="8:8">
      <c r="A20" s="4">
        <v>19.0</v>
      </c>
      <c r="B20" t="s">
        <v>119</v>
      </c>
      <c r="C20" s="4" t="s">
        <v>57</v>
      </c>
      <c r="D20" s="4" t="s">
        <v>116</v>
      </c>
      <c r="E20" s="4"/>
    </row>
    <row r="21" spans="8:8">
      <c r="A21" s="4">
        <v>20.0</v>
      </c>
      <c r="B21" t="s">
        <v>120</v>
      </c>
      <c r="C21" s="4" t="s">
        <v>60</v>
      </c>
      <c r="D21" s="4" t="s">
        <v>116</v>
      </c>
      <c r="E21" s="4"/>
    </row>
    <row r="22" spans="8:8">
      <c r="A22" s="4">
        <v>21.0</v>
      </c>
      <c r="B22" t="s">
        <v>121</v>
      </c>
      <c r="C22" s="4" t="s">
        <v>57</v>
      </c>
      <c r="D22" s="4" t="s">
        <v>122</v>
      </c>
      <c r="E22" s="4"/>
    </row>
    <row r="23" spans="8:8">
      <c r="A23" s="4">
        <v>22.0</v>
      </c>
      <c r="B23" t="s">
        <v>123</v>
      </c>
      <c r="C23" s="4" t="s">
        <v>60</v>
      </c>
      <c r="D23" s="4" t="s">
        <v>122</v>
      </c>
      <c r="E23" s="4"/>
    </row>
    <row r="24" spans="8:8">
      <c r="A24" s="4">
        <v>23.0</v>
      </c>
      <c r="B24" t="s">
        <v>124</v>
      </c>
      <c r="C24" s="4" t="s">
        <v>60</v>
      </c>
      <c r="D24" s="4" t="s">
        <v>122</v>
      </c>
      <c r="E24" s="4"/>
    </row>
    <row r="25" spans="8:8">
      <c r="A25" s="4">
        <v>24.0</v>
      </c>
      <c r="B25" t="s">
        <v>125</v>
      </c>
      <c r="C25" s="4" t="s">
        <v>60</v>
      </c>
      <c r="D25" s="4" t="s">
        <v>126</v>
      </c>
      <c r="E25" s="4"/>
    </row>
    <row r="26" spans="8:8">
      <c r="A26" s="4">
        <v>25.0</v>
      </c>
      <c r="B26" t="s">
        <v>127</v>
      </c>
      <c r="C26" s="4" t="s">
        <v>60</v>
      </c>
      <c r="D26" s="4" t="s">
        <v>126</v>
      </c>
      <c r="E26" s="4"/>
    </row>
    <row r="27" spans="8:8">
      <c r="A27" s="4">
        <v>26.0</v>
      </c>
      <c r="B27" t="s">
        <v>128</v>
      </c>
      <c r="C27" s="4" t="s">
        <v>62</v>
      </c>
      <c r="D27" s="4" t="s">
        <v>126</v>
      </c>
      <c r="E27" s="4"/>
    </row>
    <row r="28" spans="8:8">
      <c r="A28" s="4">
        <v>27.0</v>
      </c>
      <c r="B28" t="s">
        <v>129</v>
      </c>
      <c r="C28" s="4" t="s">
        <v>62</v>
      </c>
      <c r="D28" s="4" t="s">
        <v>126</v>
      </c>
      <c r="E28" s="4"/>
    </row>
    <row r="29" spans="8:8">
      <c r="A29" s="4">
        <v>28.0</v>
      </c>
      <c r="B29" t="s">
        <v>130</v>
      </c>
      <c r="C29" s="4" t="s">
        <v>62</v>
      </c>
      <c r="D29" s="4" t="s">
        <v>126</v>
      </c>
      <c r="E29" s="4"/>
    </row>
    <row r="30" spans="8:8">
      <c r="A30" s="4">
        <v>29.0</v>
      </c>
      <c r="B30" t="s">
        <v>131</v>
      </c>
      <c r="C30" s="4" t="s">
        <v>60</v>
      </c>
      <c r="D30" s="4" t="s">
        <v>126</v>
      </c>
      <c r="E30" s="4"/>
    </row>
    <row r="31" spans="8:8">
      <c r="A31" s="4">
        <v>30.0</v>
      </c>
      <c r="B31" t="s">
        <v>132</v>
      </c>
      <c r="C31" s="4" t="s">
        <v>60</v>
      </c>
      <c r="D31" s="4" t="s">
        <v>133</v>
      </c>
      <c r="E31" s="4"/>
    </row>
    <row r="32" spans="8:8">
      <c r="A32" s="4">
        <v>31.0</v>
      </c>
      <c r="B32" t="s">
        <v>134</v>
      </c>
      <c r="C32" s="4" t="s">
        <v>62</v>
      </c>
      <c r="D32" s="4" t="s">
        <v>133</v>
      </c>
      <c r="E32" s="4"/>
    </row>
    <row r="33" spans="8:8">
      <c r="A33" s="4">
        <v>32.0</v>
      </c>
      <c r="B33" t="s">
        <v>135</v>
      </c>
      <c r="C33" s="4" t="s">
        <v>62</v>
      </c>
      <c r="D33" s="4" t="s">
        <v>133</v>
      </c>
      <c r="E33" s="4"/>
    </row>
    <row r="34" spans="8:8">
      <c r="A34" s="4">
        <v>33.0</v>
      </c>
      <c r="B34" t="s">
        <v>136</v>
      </c>
      <c r="C34" s="4" t="s">
        <v>62</v>
      </c>
      <c r="D34" s="4" t="s">
        <v>133</v>
      </c>
      <c r="E34" s="4"/>
    </row>
    <row r="35" spans="8:8">
      <c r="A35" s="4">
        <v>34.0</v>
      </c>
      <c r="B35" t="s">
        <v>137</v>
      </c>
      <c r="C35" s="4" t="s">
        <v>60</v>
      </c>
      <c r="D35" s="4" t="s">
        <v>138</v>
      </c>
      <c r="E35" s="4"/>
    </row>
    <row r="36" spans="8:8">
      <c r="A36" s="4">
        <v>35.0</v>
      </c>
      <c r="B36" t="s">
        <v>139</v>
      </c>
      <c r="C36" s="4" t="s">
        <v>62</v>
      </c>
      <c r="D36" s="4" t="s">
        <v>138</v>
      </c>
      <c r="E36" s="4"/>
    </row>
    <row r="37" spans="8:8">
      <c r="A37" s="4">
        <v>36.0</v>
      </c>
      <c r="B37" t="s">
        <v>140</v>
      </c>
      <c r="C37" s="4" t="s">
        <v>62</v>
      </c>
      <c r="D37" s="4" t="s">
        <v>138</v>
      </c>
      <c r="E37" s="4"/>
    </row>
    <row r="38" spans="8:8">
      <c r="A38" s="4">
        <v>37.0</v>
      </c>
      <c r="B38" t="s">
        <v>141</v>
      </c>
      <c r="C38" s="4" t="s">
        <v>62</v>
      </c>
      <c r="D38" s="4" t="s">
        <v>138</v>
      </c>
      <c r="E38" s="4"/>
    </row>
    <row r="39" spans="8:8">
      <c r="A39" s="4">
        <v>38.0</v>
      </c>
      <c r="B39" t="s">
        <v>142</v>
      </c>
      <c r="C39" s="4" t="s">
        <v>62</v>
      </c>
      <c r="D39" s="4" t="s">
        <v>138</v>
      </c>
      <c r="E39" s="4"/>
    </row>
    <row r="40" spans="8:8">
      <c r="A40" s="4">
        <v>39.0</v>
      </c>
      <c r="B40" t="s">
        <v>143</v>
      </c>
      <c r="C40" s="4" t="s">
        <v>60</v>
      </c>
      <c r="D40" s="4" t="s">
        <v>144</v>
      </c>
      <c r="E40" s="4"/>
    </row>
    <row r="41" spans="8:8">
      <c r="A41" s="4">
        <v>40.0</v>
      </c>
      <c r="B41" t="s">
        <v>145</v>
      </c>
      <c r="C41" s="4" t="s">
        <v>62</v>
      </c>
      <c r="D41" s="4" t="s">
        <v>144</v>
      </c>
      <c r="E41" s="4"/>
    </row>
    <row r="42" spans="8:8">
      <c r="A42" s="4">
        <v>41.0</v>
      </c>
      <c r="B42" t="s">
        <v>146</v>
      </c>
      <c r="C42" s="4" t="s">
        <v>62</v>
      </c>
      <c r="D42" s="4" t="s">
        <v>144</v>
      </c>
      <c r="E42" s="4"/>
    </row>
    <row r="43" spans="8:8">
      <c r="A43" s="4">
        <v>42.0</v>
      </c>
      <c r="B43" t="s">
        <v>147</v>
      </c>
      <c r="C43" s="4" t="s">
        <v>60</v>
      </c>
      <c r="D43" s="4" t="s">
        <v>148</v>
      </c>
      <c r="E43" s="4"/>
    </row>
    <row r="44" spans="8:8">
      <c r="A44" s="4">
        <v>43.0</v>
      </c>
      <c r="B44" t="s">
        <v>149</v>
      </c>
      <c r="C44" s="4" t="s">
        <v>60</v>
      </c>
      <c r="D44" s="4" t="s">
        <v>148</v>
      </c>
      <c r="E44" s="4"/>
    </row>
    <row r="45" spans="8:8">
      <c r="A45" s="4">
        <v>44.0</v>
      </c>
      <c r="B45" t="s">
        <v>150</v>
      </c>
      <c r="C45" s="4" t="s">
        <v>62</v>
      </c>
      <c r="D45" s="4" t="s">
        <v>148</v>
      </c>
      <c r="E45" s="4"/>
    </row>
    <row r="46" spans="8:8">
      <c r="A46" s="4">
        <v>45.0</v>
      </c>
      <c r="B46" t="s">
        <v>151</v>
      </c>
      <c r="C46" s="4" t="s">
        <v>62</v>
      </c>
      <c r="D46" s="4" t="s">
        <v>148</v>
      </c>
      <c r="E46" s="4"/>
    </row>
    <row r="47" spans="8:8">
      <c r="A47" s="4">
        <v>46.0</v>
      </c>
      <c r="B47" t="s">
        <v>152</v>
      </c>
      <c r="C47" s="4" t="s">
        <v>60</v>
      </c>
      <c r="D47" s="4" t="s">
        <v>153</v>
      </c>
      <c r="E47" s="4"/>
    </row>
    <row r="48" spans="8:8">
      <c r="A48" s="4">
        <v>47.0</v>
      </c>
      <c r="B48" t="s">
        <v>154</v>
      </c>
      <c r="C48" s="4" t="s">
        <v>62</v>
      </c>
      <c r="D48" s="4" t="s">
        <v>153</v>
      </c>
      <c r="E48" s="4"/>
    </row>
    <row r="49" spans="8:8">
      <c r="A49" s="4">
        <v>48.0</v>
      </c>
      <c r="B49" t="s">
        <v>155</v>
      </c>
      <c r="C49" s="4" t="s">
        <v>62</v>
      </c>
      <c r="D49" s="4" t="s">
        <v>153</v>
      </c>
      <c r="E49" s="4"/>
    </row>
    <row r="50" spans="8:8">
      <c r="A50" s="4">
        <v>49.0</v>
      </c>
      <c r="B50" t="s">
        <v>156</v>
      </c>
      <c r="C50" s="4" t="s">
        <v>62</v>
      </c>
      <c r="D50" s="4" t="s">
        <v>157</v>
      </c>
      <c r="E50" s="4"/>
    </row>
    <row r="51" spans="8:8">
      <c r="A51" s="4">
        <v>50.0</v>
      </c>
      <c r="B51" t="s">
        <v>158</v>
      </c>
      <c r="C51" s="4" t="s">
        <v>62</v>
      </c>
      <c r="D51" s="4" t="s">
        <v>157</v>
      </c>
      <c r="E51" s="4"/>
    </row>
    <row r="52" spans="8:8">
      <c r="A52" s="4">
        <v>51.0</v>
      </c>
      <c r="B52" t="s">
        <v>159</v>
      </c>
      <c r="C52" s="4" t="s">
        <v>66</v>
      </c>
      <c r="D52" s="4" t="s">
        <v>157</v>
      </c>
      <c r="E52" s="4"/>
    </row>
    <row r="53" spans="8:8">
      <c r="A53" s="4">
        <v>52.0</v>
      </c>
      <c r="B53" t="s">
        <v>160</v>
      </c>
      <c r="C53" s="4" t="s">
        <v>57</v>
      </c>
      <c r="D53" s="4" t="s">
        <v>161</v>
      </c>
      <c r="E53" s="4"/>
    </row>
    <row r="54" spans="8:8">
      <c r="A54" s="4">
        <v>53.0</v>
      </c>
      <c r="B54" t="s">
        <v>162</v>
      </c>
      <c r="C54" s="4" t="s">
        <v>60</v>
      </c>
      <c r="D54" s="4" t="s">
        <v>161</v>
      </c>
      <c r="E54" s="4"/>
    </row>
    <row r="55" spans="8:8">
      <c r="A55" s="4">
        <v>54.0</v>
      </c>
      <c r="B55" t="s">
        <v>163</v>
      </c>
      <c r="C55" s="4" t="s">
        <v>62</v>
      </c>
      <c r="D55" s="4" t="s">
        <v>161</v>
      </c>
      <c r="E55" s="4"/>
    </row>
    <row r="56" spans="8:8">
      <c r="A56" s="4">
        <v>55.0</v>
      </c>
      <c r="B56" t="s">
        <v>164</v>
      </c>
      <c r="C56" s="4" t="s">
        <v>62</v>
      </c>
      <c r="D56" s="4" t="s">
        <v>161</v>
      </c>
      <c r="E56" s="4"/>
    </row>
    <row r="57" spans="8:8">
      <c r="A57" s="4">
        <v>56.0</v>
      </c>
      <c r="B57" t="s">
        <v>165</v>
      </c>
      <c r="C57" s="4" t="s">
        <v>66</v>
      </c>
      <c r="D57" s="4" t="s">
        <v>161</v>
      </c>
      <c r="E57" s="4"/>
    </row>
    <row r="58" spans="8:8">
      <c r="A58" s="4">
        <v>57.0</v>
      </c>
      <c r="B58" t="s">
        <v>166</v>
      </c>
      <c r="C58" s="4" t="s">
        <v>66</v>
      </c>
      <c r="D58" s="4" t="s">
        <v>161</v>
      </c>
      <c r="E58" s="4"/>
    </row>
    <row r="59" spans="8:8">
      <c r="A59" s="4">
        <v>58.0</v>
      </c>
      <c r="B59" t="s">
        <v>167</v>
      </c>
      <c r="C59" s="4" t="s">
        <v>60</v>
      </c>
      <c r="D59" s="4" t="s">
        <v>168</v>
      </c>
      <c r="E59" s="4"/>
    </row>
    <row r="60" spans="8:8">
      <c r="A60" s="4">
        <v>59.0</v>
      </c>
      <c r="B60" t="s">
        <v>169</v>
      </c>
      <c r="C60" s="4" t="s">
        <v>66</v>
      </c>
      <c r="D60" s="4" t="s">
        <v>168</v>
      </c>
      <c r="E60" s="4"/>
    </row>
    <row r="61" spans="8:8">
      <c r="A61" s="4">
        <v>60.0</v>
      </c>
      <c r="B61" t="s">
        <v>170</v>
      </c>
      <c r="C61" s="4" t="s">
        <v>66</v>
      </c>
      <c r="D61" s="4" t="s">
        <v>168</v>
      </c>
      <c r="E61" s="4"/>
    </row>
    <row r="62" spans="8:8">
      <c r="A62" s="4">
        <v>61.0</v>
      </c>
      <c r="B62" t="s">
        <v>171</v>
      </c>
      <c r="C62" s="4" t="s">
        <v>60</v>
      </c>
      <c r="D62" s="4" t="s">
        <v>172</v>
      </c>
      <c r="E62" s="4"/>
    </row>
    <row r="63" spans="8:8">
      <c r="A63" s="4">
        <v>62.0</v>
      </c>
      <c r="B63" t="s">
        <v>173</v>
      </c>
      <c r="C63" s="4" t="s">
        <v>60</v>
      </c>
      <c r="D63" s="4" t="s">
        <v>172</v>
      </c>
      <c r="E63" s="4"/>
    </row>
    <row r="64" spans="8:8">
      <c r="A64" s="4">
        <v>63.0</v>
      </c>
      <c r="B64" t="s">
        <v>174</v>
      </c>
      <c r="C64" s="4" t="s">
        <v>62</v>
      </c>
      <c r="D64" s="4" t="s">
        <v>172</v>
      </c>
      <c r="E64" s="4"/>
    </row>
    <row r="65" spans="8:8">
      <c r="A65" s="4">
        <v>64.0</v>
      </c>
      <c r="B65" t="s">
        <v>175</v>
      </c>
      <c r="C65" s="4" t="s">
        <v>66</v>
      </c>
      <c r="D65" s="4" t="s">
        <v>172</v>
      </c>
      <c r="E65" s="4"/>
    </row>
    <row r="66" spans="8:8">
      <c r="A66" s="4">
        <v>65.0</v>
      </c>
      <c r="B66" t="s">
        <v>176</v>
      </c>
      <c r="C66" s="4" t="s">
        <v>60</v>
      </c>
      <c r="D66" s="4" t="s">
        <v>177</v>
      </c>
      <c r="E66" s="4"/>
    </row>
    <row r="67" spans="8:8">
      <c r="A67" s="4">
        <v>66.0</v>
      </c>
      <c r="B67" t="s">
        <v>178</v>
      </c>
      <c r="C67" s="4" t="s">
        <v>62</v>
      </c>
      <c r="D67" s="4" t="s">
        <v>177</v>
      </c>
      <c r="E67" s="4"/>
    </row>
    <row r="68" spans="8:8">
      <c r="A68" s="4">
        <v>67.0</v>
      </c>
      <c r="B68" t="s">
        <v>179</v>
      </c>
      <c r="C68" s="4" t="s">
        <v>60</v>
      </c>
      <c r="D68" s="4" t="s">
        <v>180</v>
      </c>
      <c r="E68" s="4"/>
    </row>
    <row r="69" spans="8:8">
      <c r="A69" s="4">
        <v>68.0</v>
      </c>
      <c r="B69" t="s">
        <v>181</v>
      </c>
      <c r="C69" s="4" t="s">
        <v>62</v>
      </c>
      <c r="D69" s="4" t="s">
        <v>180</v>
      </c>
      <c r="E69" s="4"/>
    </row>
    <row r="70" spans="8:8">
      <c r="A70" s="4">
        <v>69.0</v>
      </c>
      <c r="B70" t="s">
        <v>182</v>
      </c>
      <c r="C70" s="4" t="s">
        <v>66</v>
      </c>
      <c r="D70" s="4" t="s">
        <v>180</v>
      </c>
      <c r="E70" s="4"/>
    </row>
    <row r="71" spans="8:8">
      <c r="A71" s="4">
        <v>70.0</v>
      </c>
      <c r="B71" t="s">
        <v>183</v>
      </c>
      <c r="C71" s="4" t="s">
        <v>66</v>
      </c>
      <c r="D71" s="4" t="s">
        <v>180</v>
      </c>
      <c r="E71" s="4"/>
    </row>
    <row r="72" spans="8:8">
      <c r="A72" s="4">
        <v>71.0</v>
      </c>
      <c r="B72" t="s">
        <v>184</v>
      </c>
      <c r="C72" s="4" t="s">
        <v>66</v>
      </c>
      <c r="D72" s="4" t="s">
        <v>185</v>
      </c>
      <c r="E72" s="4"/>
    </row>
    <row r="73" spans="8:8">
      <c r="A73" s="4">
        <v>72.0</v>
      </c>
      <c r="B73" t="s">
        <v>186</v>
      </c>
      <c r="C73" s="4" t="s">
        <v>67</v>
      </c>
      <c r="D73" s="4" t="s">
        <v>185</v>
      </c>
      <c r="E73" s="4">
        <v>1.0</v>
      </c>
      <c r="F73" s="4">
        <v>1.0</v>
      </c>
    </row>
    <row r="74" spans="8:8">
      <c r="A74" s="4">
        <v>73.0</v>
      </c>
      <c r="B74" t="s">
        <v>187</v>
      </c>
      <c r="C74" s="4" t="s">
        <v>67</v>
      </c>
      <c r="D74" s="4" t="s">
        <v>188</v>
      </c>
      <c r="E74" s="4">
        <v>1.0</v>
      </c>
      <c r="F74" s="4">
        <v>1.0</v>
      </c>
    </row>
    <row r="75" spans="8:8">
      <c r="A75" s="4">
        <v>74.0</v>
      </c>
      <c r="B75" t="s">
        <v>189</v>
      </c>
      <c r="C75" s="4" t="s">
        <v>67</v>
      </c>
      <c r="D75" s="4" t="s">
        <v>188</v>
      </c>
      <c r="E75" s="4">
        <v>1.0</v>
      </c>
      <c r="F75" s="4">
        <v>1.0</v>
      </c>
    </row>
    <row r="76" spans="8:8">
      <c r="A76" s="4">
        <v>75.0</v>
      </c>
      <c r="B76" t="s">
        <v>190</v>
      </c>
      <c r="C76" s="4" t="s">
        <v>60</v>
      </c>
      <c r="D76" s="4" t="s">
        <v>191</v>
      </c>
      <c r="E76" s="4"/>
    </row>
    <row r="77" spans="8:8">
      <c r="A77" s="4">
        <v>76.0</v>
      </c>
      <c r="B77" t="s">
        <v>192</v>
      </c>
      <c r="C77" s="4" t="s">
        <v>62</v>
      </c>
      <c r="D77" s="4" t="s">
        <v>191</v>
      </c>
      <c r="E77" s="4"/>
    </row>
    <row r="78" spans="8:8">
      <c r="A78" s="4">
        <v>77.0</v>
      </c>
      <c r="B78" t="s">
        <v>193</v>
      </c>
      <c r="C78" s="4" t="s">
        <v>67</v>
      </c>
      <c r="D78" s="4" t="s">
        <v>191</v>
      </c>
      <c r="E78" s="4">
        <v>1.0</v>
      </c>
      <c r="F78" s="4"/>
    </row>
    <row r="79" spans="8:8">
      <c r="A79" s="4">
        <v>78.0</v>
      </c>
      <c r="B79" t="s">
        <v>194</v>
      </c>
      <c r="C79" s="4" t="s">
        <v>60</v>
      </c>
      <c r="D79" s="4" t="s">
        <v>195</v>
      </c>
      <c r="E79" s="4"/>
    </row>
    <row r="80" spans="8:8">
      <c r="A80" s="4">
        <v>79.0</v>
      </c>
      <c r="B80" t="s">
        <v>196</v>
      </c>
      <c r="C80" s="4" t="s">
        <v>60</v>
      </c>
      <c r="D80" s="4" t="s">
        <v>195</v>
      </c>
      <c r="E80" s="4"/>
    </row>
    <row r="81" spans="8:8">
      <c r="A81" s="4">
        <v>80.0</v>
      </c>
      <c r="B81" t="s">
        <v>197</v>
      </c>
      <c r="C81" s="4" t="s">
        <v>62</v>
      </c>
      <c r="D81" s="4" t="s">
        <v>195</v>
      </c>
      <c r="E81" s="4"/>
    </row>
    <row r="82" spans="8:8">
      <c r="A82" s="4">
        <v>81.0</v>
      </c>
      <c r="B82" t="s">
        <v>198</v>
      </c>
      <c r="C82" s="4" t="s">
        <v>67</v>
      </c>
      <c r="D82" s="4" t="s">
        <v>195</v>
      </c>
      <c r="E82" s="4">
        <v>1.0</v>
      </c>
      <c r="F82" s="4">
        <v>1.0</v>
      </c>
    </row>
    <row r="83" spans="8:8">
      <c r="A83" s="4">
        <v>82.0</v>
      </c>
      <c r="B83" t="s">
        <v>199</v>
      </c>
      <c r="C83" s="4" t="s">
        <v>67</v>
      </c>
      <c r="D83" s="4" t="s">
        <v>195</v>
      </c>
      <c r="E83" s="4">
        <v>1.0</v>
      </c>
      <c r="F83" s="4"/>
    </row>
    <row r="84" spans="8:8">
      <c r="A84" s="4">
        <v>83.0</v>
      </c>
      <c r="B84" t="s">
        <v>200</v>
      </c>
      <c r="C84" s="4" t="s">
        <v>60</v>
      </c>
      <c r="D84" s="4" t="s">
        <v>201</v>
      </c>
      <c r="E84" s="4"/>
    </row>
    <row r="85" spans="8:8">
      <c r="A85" s="4">
        <v>84.0</v>
      </c>
      <c r="B85" t="s">
        <v>202</v>
      </c>
      <c r="C85" s="4" t="s">
        <v>62</v>
      </c>
      <c r="D85" s="4" t="s">
        <v>201</v>
      </c>
      <c r="E85" s="4"/>
    </row>
    <row r="86" spans="8:8">
      <c r="A86" s="4">
        <v>85.0</v>
      </c>
      <c r="B86" t="s">
        <v>203</v>
      </c>
      <c r="C86" s="4" t="s">
        <v>66</v>
      </c>
      <c r="D86" s="4" t="s">
        <v>201</v>
      </c>
      <c r="E86" s="4"/>
    </row>
    <row r="87" spans="8:8">
      <c r="A87" s="4">
        <v>86.0</v>
      </c>
      <c r="B87" t="s">
        <v>204</v>
      </c>
      <c r="C87" s="4" t="s">
        <v>67</v>
      </c>
      <c r="D87" s="4" t="s">
        <v>201</v>
      </c>
      <c r="E87" s="4">
        <v>1.0</v>
      </c>
      <c r="F87" s="4"/>
    </row>
    <row r="88" spans="8:8">
      <c r="A88" s="4">
        <v>87.0</v>
      </c>
      <c r="B88" t="s">
        <v>205</v>
      </c>
      <c r="C88" s="4" t="s">
        <v>60</v>
      </c>
      <c r="D88" s="4" t="s">
        <v>206</v>
      </c>
      <c r="E88" s="4"/>
    </row>
    <row r="89" spans="8:8">
      <c r="A89" s="4">
        <v>88.0</v>
      </c>
      <c r="B89" t="s">
        <v>207</v>
      </c>
      <c r="C89" s="4" t="s">
        <v>66</v>
      </c>
      <c r="D89" s="4" t="s">
        <v>206</v>
      </c>
      <c r="E89" s="4"/>
    </row>
    <row r="90" spans="8:8">
      <c r="A90" s="4">
        <v>89.0</v>
      </c>
      <c r="B90" t="s">
        <v>208</v>
      </c>
      <c r="C90" s="4" t="s">
        <v>66</v>
      </c>
      <c r="D90" s="4" t="s">
        <v>206</v>
      </c>
      <c r="E90" s="4"/>
    </row>
    <row r="91" spans="8:8">
      <c r="A91" s="4">
        <v>90.0</v>
      </c>
      <c r="B91" t="s">
        <v>209</v>
      </c>
      <c r="C91" s="4" t="s">
        <v>67</v>
      </c>
      <c r="D91" s="4" t="s">
        <v>206</v>
      </c>
      <c r="E91" s="4">
        <v>1.0</v>
      </c>
      <c r="F91" s="4"/>
    </row>
    <row r="92" spans="8:8">
      <c r="A92" s="4">
        <v>91.0</v>
      </c>
      <c r="B92" t="s">
        <v>210</v>
      </c>
      <c r="C92" s="4" t="s">
        <v>60</v>
      </c>
      <c r="D92" s="4" t="s">
        <v>211</v>
      </c>
      <c r="E92" s="4"/>
    </row>
    <row r="93" spans="8:8">
      <c r="A93" s="4">
        <v>92.0</v>
      </c>
      <c r="B93" t="s">
        <v>212</v>
      </c>
      <c r="C93" s="4" t="s">
        <v>62</v>
      </c>
      <c r="D93" s="4" t="s">
        <v>211</v>
      </c>
      <c r="E93" s="4"/>
    </row>
    <row r="94" spans="8:8">
      <c r="A94" s="4">
        <v>93.0</v>
      </c>
      <c r="B94" t="s">
        <v>213</v>
      </c>
      <c r="C94" s="4" t="s">
        <v>62</v>
      </c>
      <c r="D94" s="4" t="s">
        <v>211</v>
      </c>
      <c r="E94" s="4"/>
    </row>
    <row r="95" spans="8:8">
      <c r="A95" s="4">
        <v>94.0</v>
      </c>
      <c r="B95" t="s">
        <v>214</v>
      </c>
      <c r="C95" s="4" t="s">
        <v>67</v>
      </c>
      <c r="D95" s="4" t="s">
        <v>211</v>
      </c>
      <c r="E95" s="4">
        <v>1.0</v>
      </c>
      <c r="F95" s="4"/>
    </row>
    <row r="96" spans="8:8">
      <c r="A96" s="4">
        <v>95.0</v>
      </c>
      <c r="B96" t="s">
        <v>215</v>
      </c>
      <c r="C96" s="4" t="s">
        <v>67</v>
      </c>
      <c r="D96" s="4" t="s">
        <v>211</v>
      </c>
      <c r="E96" s="4">
        <v>1.0</v>
      </c>
      <c r="F96" s="4"/>
    </row>
    <row r="97" spans="8:8">
      <c r="A97" s="4">
        <v>96.0</v>
      </c>
      <c r="B97" t="s">
        <v>216</v>
      </c>
      <c r="C97" s="4" t="s">
        <v>62</v>
      </c>
      <c r="D97" s="4" t="s">
        <v>217</v>
      </c>
      <c r="E97" s="4"/>
    </row>
    <row r="98" spans="8:8">
      <c r="A98" s="4">
        <v>97.0</v>
      </c>
      <c r="B98" t="s">
        <v>218</v>
      </c>
      <c r="C98" s="4" t="s">
        <v>66</v>
      </c>
      <c r="D98" s="4" t="s">
        <v>217</v>
      </c>
      <c r="E98" s="4"/>
    </row>
    <row r="99" spans="8:8">
      <c r="A99" s="4">
        <v>98.0</v>
      </c>
      <c r="B99" t="s">
        <v>219</v>
      </c>
      <c r="C99" s="4" t="s">
        <v>66</v>
      </c>
      <c r="D99" s="4" t="s">
        <v>217</v>
      </c>
      <c r="E99" s="4"/>
    </row>
    <row r="100" spans="8:8">
      <c r="A100" s="4">
        <v>99.0</v>
      </c>
      <c r="B100" t="s">
        <v>220</v>
      </c>
      <c r="C100" s="4" t="s">
        <v>67</v>
      </c>
      <c r="D100" s="4" t="s">
        <v>217</v>
      </c>
      <c r="E100" s="4">
        <v>1.0</v>
      </c>
      <c r="F100" s="4"/>
    </row>
    <row r="101" spans="8:8">
      <c r="A101" s="4">
        <v>100.0</v>
      </c>
      <c r="B101" t="s">
        <v>221</v>
      </c>
      <c r="C101" s="4" t="s">
        <v>66</v>
      </c>
      <c r="D101" s="4" t="s">
        <v>222</v>
      </c>
      <c r="E101" s="4"/>
    </row>
    <row r="102" spans="8:8">
      <c r="A102" s="4">
        <v>101.0</v>
      </c>
      <c r="B102" t="s">
        <v>223</v>
      </c>
      <c r="C102" s="4" t="s">
        <v>67</v>
      </c>
      <c r="D102" s="4" t="s">
        <v>222</v>
      </c>
      <c r="E102" s="4">
        <v>1.0</v>
      </c>
      <c r="F102" s="4">
        <v>1.0</v>
      </c>
    </row>
    <row r="103" spans="8:8">
      <c r="A103" s="4">
        <v>102.0</v>
      </c>
      <c r="B103" t="s">
        <v>224</v>
      </c>
      <c r="C103" s="4" t="s">
        <v>67</v>
      </c>
      <c r="D103" s="4" t="s">
        <v>225</v>
      </c>
      <c r="E103" s="4">
        <v>1.0</v>
      </c>
      <c r="F103" s="4"/>
    </row>
    <row r="104" spans="8:8">
      <c r="A104" s="4">
        <v>103.0</v>
      </c>
      <c r="B104" t="s">
        <v>226</v>
      </c>
      <c r="C104" s="4" t="s">
        <v>67</v>
      </c>
      <c r="D104" s="4" t="s">
        <v>225</v>
      </c>
      <c r="E104" s="4">
        <v>1.0</v>
      </c>
      <c r="F104" s="4">
        <v>1.0</v>
      </c>
    </row>
    <row r="105" spans="8:8">
      <c r="A105" s="4">
        <v>104.0</v>
      </c>
      <c r="B105" t="s">
        <v>227</v>
      </c>
      <c r="C105" s="4" t="s">
        <v>67</v>
      </c>
      <c r="D105" s="4" t="s">
        <v>225</v>
      </c>
      <c r="E105" s="4">
        <v>1.0</v>
      </c>
      <c r="F105" s="4"/>
    </row>
    <row r="106" spans="8:8">
      <c r="A106" s="4">
        <v>105.0</v>
      </c>
      <c r="B106" t="s">
        <v>228</v>
      </c>
      <c r="C106" s="4" t="s">
        <v>67</v>
      </c>
      <c r="D106" s="4" t="s">
        <v>225</v>
      </c>
      <c r="E106" s="4">
        <v>1.0</v>
      </c>
      <c r="F106" s="4"/>
    </row>
    <row r="107" spans="8:8">
      <c r="A107" s="4">
        <v>106.0</v>
      </c>
      <c r="B107" t="s">
        <v>229</v>
      </c>
      <c r="C107" s="4" t="s">
        <v>69</v>
      </c>
      <c r="D107" s="4" t="s">
        <v>225</v>
      </c>
      <c r="E107" s="4"/>
    </row>
    <row r="108" spans="8:8">
      <c r="A108" s="4">
        <v>107.0</v>
      </c>
      <c r="B108" t="s">
        <v>230</v>
      </c>
      <c r="C108" s="4" t="s">
        <v>66</v>
      </c>
      <c r="D108" s="4" t="s">
        <v>231</v>
      </c>
      <c r="E108" s="4"/>
    </row>
    <row r="109" spans="8:8">
      <c r="A109" s="4">
        <v>108.0</v>
      </c>
      <c r="B109" t="s">
        <v>232</v>
      </c>
      <c r="C109" s="4" t="s">
        <v>67</v>
      </c>
      <c r="D109" s="4" t="s">
        <v>231</v>
      </c>
      <c r="E109" s="4">
        <v>1.0</v>
      </c>
      <c r="F109" s="4">
        <v>1.0</v>
      </c>
    </row>
    <row r="110" spans="8:8">
      <c r="A110" s="4">
        <v>109.0</v>
      </c>
      <c r="B110" t="s">
        <v>233</v>
      </c>
      <c r="C110" s="4" t="s">
        <v>69</v>
      </c>
      <c r="D110" s="4" t="s">
        <v>231</v>
      </c>
      <c r="E110" s="4"/>
    </row>
    <row r="111" spans="8:8">
      <c r="A111" s="4">
        <v>110.0</v>
      </c>
      <c r="B111" t="s">
        <v>234</v>
      </c>
      <c r="C111" s="4" t="s">
        <v>69</v>
      </c>
      <c r="D111" s="4" t="s">
        <v>235</v>
      </c>
      <c r="E111" s="4"/>
    </row>
    <row r="112" spans="8:8">
      <c r="A112" s="4">
        <v>111.0</v>
      </c>
      <c r="B112" t="s">
        <v>236</v>
      </c>
      <c r="C112" s="4" t="s">
        <v>69</v>
      </c>
      <c r="D112" s="4" t="s">
        <v>237</v>
      </c>
      <c r="E112" s="4"/>
    </row>
    <row r="113" spans="8:8">
      <c r="A113" s="4">
        <v>112.0</v>
      </c>
      <c r="B113" t="s">
        <v>238</v>
      </c>
      <c r="C113" s="4" t="s">
        <v>69</v>
      </c>
      <c r="D113" s="4"/>
      <c r="E113" s="4"/>
    </row>
    <row r="114" spans="8:8">
      <c r="A114" s="4">
        <v>113.0</v>
      </c>
      <c r="B114" t="s">
        <v>239</v>
      </c>
      <c r="C114" s="4" t="s">
        <v>69</v>
      </c>
      <c r="D114" s="4"/>
      <c r="E114" s="4"/>
    </row>
    <row r="115" spans="8:8">
      <c r="A115" s="4">
        <v>114.0</v>
      </c>
      <c r="B115" t="s">
        <v>240</v>
      </c>
      <c r="C115" s="4" t="s">
        <v>60</v>
      </c>
      <c r="D115" s="4" t="s">
        <v>241</v>
      </c>
      <c r="E115" s="4"/>
    </row>
    <row r="116" spans="8:8">
      <c r="A116" s="4">
        <v>115.0</v>
      </c>
      <c r="B116" t="s">
        <v>242</v>
      </c>
      <c r="C116" s="4" t="s">
        <v>62</v>
      </c>
      <c r="D116" s="4" t="s">
        <v>241</v>
      </c>
      <c r="E116" s="4"/>
    </row>
    <row r="117" spans="8:8">
      <c r="A117" s="4">
        <v>116.0</v>
      </c>
      <c r="B117" t="s">
        <v>243</v>
      </c>
      <c r="C117" s="4" t="s">
        <v>62</v>
      </c>
      <c r="D117" s="4" t="s">
        <v>241</v>
      </c>
      <c r="E117" s="4"/>
    </row>
    <row r="118" spans="8:8">
      <c r="A118" s="4">
        <v>117.0</v>
      </c>
      <c r="B118" t="s">
        <v>244</v>
      </c>
      <c r="C118" s="4" t="s">
        <v>67</v>
      </c>
      <c r="D118" s="4" t="s">
        <v>241</v>
      </c>
      <c r="E118" s="4"/>
      <c r="F118" s="4"/>
    </row>
    <row r="119" spans="8:8">
      <c r="A119" s="4">
        <v>118.0</v>
      </c>
      <c r="B119" t="s">
        <v>245</v>
      </c>
      <c r="C119" s="4" t="s">
        <v>66</v>
      </c>
      <c r="D119" s="4"/>
      <c r="E119" s="4"/>
    </row>
    <row r="120" spans="8:8">
      <c r="A120" s="4">
        <v>119.0</v>
      </c>
      <c r="B120" t="s">
        <v>246</v>
      </c>
      <c r="C120" s="4" t="s">
        <v>66</v>
      </c>
      <c r="D120" s="4"/>
      <c r="E120" s="4"/>
    </row>
    <row r="121" spans="8:8">
      <c r="A121" s="4">
        <v>120.0</v>
      </c>
      <c r="B121" t="s">
        <v>247</v>
      </c>
      <c r="C121" s="4" t="s">
        <v>57</v>
      </c>
      <c r="D121" s="4"/>
      <c r="E121" s="4"/>
    </row>
    <row r="122" spans="8:8">
      <c r="A122" s="4">
        <v>121.0</v>
      </c>
      <c r="B122" t="s">
        <v>248</v>
      </c>
      <c r="C122" s="4" t="s">
        <v>60</v>
      </c>
      <c r="D122" s="4"/>
      <c r="E122" s="4"/>
    </row>
    <row r="123" spans="8:8">
      <c r="B123" t="s">
        <v>249</v>
      </c>
      <c r="C123" s="4" t="s">
        <v>69</v>
      </c>
      <c r="D123" s="4"/>
      <c r="E123" s="4"/>
    </row>
    <row r="124" spans="8:8">
      <c r="B124" t="s">
        <v>250</v>
      </c>
      <c r="C124" s="4" t="s">
        <v>69</v>
      </c>
      <c r="D124" s="4"/>
      <c r="E124" s="4"/>
    </row>
    <row r="125" spans="8:8">
      <c r="B125" t="s">
        <v>251</v>
      </c>
      <c r="C125" s="4" t="s">
        <v>69</v>
      </c>
      <c r="D125" s="4"/>
      <c r="E125" s="4"/>
    </row>
    <row r="126" spans="8:8">
      <c r="B126" t="s">
        <v>252</v>
      </c>
      <c r="C126" s="4" t="s">
        <v>69</v>
      </c>
      <c r="D126" s="4"/>
      <c r="E126" s="4"/>
    </row>
    <row r="127" spans="8:8">
      <c r="B127" t="s">
        <v>253</v>
      </c>
      <c r="C127" s="4" t="s">
        <v>69</v>
      </c>
      <c r="D127" s="4"/>
      <c r="E127" s="4"/>
    </row>
    <row r="128" spans="8:8">
      <c r="B128" t="s">
        <v>254</v>
      </c>
      <c r="C128" s="4" t="s">
        <v>69</v>
      </c>
    </row>
  </sheetData>
  <autoFilter ref="B1:F128">
    <filterColumn colId="0" showButton="1"/>
  </autoFilter>
  <pageMargins left="0.75" right="0.75" top="1.0" bottom="1.0" header="0.511805555555556" footer="0.511805555555556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2206122SC</dc:creator>
  <cp:lastModifiedBy>suyc</cp:lastModifiedBy>
  <dcterms:created xsi:type="dcterms:W3CDTF">2018-11-09T01:27:00Z</dcterms:created>
  <dcterms:modified xsi:type="dcterms:W3CDTF">2023-07-09T15:04:19Z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C097AFC6E14C4831AD02D35A91AC27F7</vt:lpwstr>
  </property>
</Properties>
</file>