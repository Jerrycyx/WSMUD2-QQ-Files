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6" r:id="rId1"/>
    <sheet name="Sheet3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6" l="1"/>
  <c r="A62" i="7" l="1"/>
  <c r="C3" i="6" l="1"/>
  <c r="D5" i="6" s="1"/>
  <c r="C7" i="6" s="1"/>
</calcChain>
</file>

<file path=xl/sharedStrings.xml><?xml version="1.0" encoding="utf-8"?>
<sst xmlns="http://schemas.openxmlformats.org/spreadsheetml/2006/main" count="70" uniqueCount="70">
  <si>
    <t>先天身法</t>
    <phoneticPr fontId="1" type="noConversion"/>
  </si>
  <si>
    <t>初始</t>
    <phoneticPr fontId="1" type="noConversion"/>
  </si>
  <si>
    <t>追风</t>
    <phoneticPr fontId="1" type="noConversion"/>
  </si>
  <si>
    <t>嘤嘤</t>
    <phoneticPr fontId="1" type="noConversion"/>
  </si>
  <si>
    <t>小计</t>
  </si>
  <si>
    <t>绣花针+弯刀</t>
    <phoneticPr fontId="1" type="noConversion"/>
  </si>
  <si>
    <t>攻速</t>
    <phoneticPr fontId="1" type="noConversion"/>
  </si>
  <si>
    <t xml:space="preserve">SELECT </t>
  </si>
  <si>
    <t>a.trade_code order_no --订单号</t>
  </si>
  <si>
    <t>, a.channel_order_no alice_order_no --外部订单号</t>
  </si>
  <si>
    <t>, a.trade_type order_type_code  --订单类型</t>
  </si>
  <si>
    <t>, dim2.item_name order_type --类型名称</t>
  </si>
  <si>
    <t>, '1' order_va_ind --只有实物订单</t>
  </si>
  <si>
    <t>, a.trade_channel order_source --下单渠道</t>
  </si>
  <si>
    <t>, a.channel_name order_source_name --下单渠道名称</t>
  </si>
  <si>
    <t>, '3060' com_sid</t>
  </si>
  <si>
    <t>, b.delivery_mode --发货仓</t>
  </si>
  <si>
    <t>, dim4.item_name delivery_name --发货仓</t>
  </si>
  <si>
    <t>, '3060' industry_sid --业态</t>
  </si>
  <si>
    <t>, a.store_id --门店id</t>
  </si>
  <si>
    <t>, lpad (dim3.store_code,6 ,'0') store_code --门店代码</t>
  </si>
  <si>
    <t>, '3060' store_industry_sid</t>
  </si>
  <si>
    <t>, dim3.store_name --门店名称</t>
  </si>
  <si>
    <t>, a.store_name sale_store_name --销售门店名称</t>
  </si>
  <si>
    <t>--, a.store_code</t>
  </si>
  <si>
    <t>, a.member_id --会员号</t>
  </si>
  <si>
    <t xml:space="preserve">, CAST (a.trade_time AS timestamp) sale_time </t>
  </si>
  <si>
    <t>, '1'  online_order_ind --只有线上订单</t>
  </si>
  <si>
    <t>, a.trade_status order_status</t>
  </si>
  <si>
    <t>, dim1.item_name order_status_name --状态</t>
  </si>
  <si>
    <t>, CASE WHEN a.trade_status BETWEEN 1020 AND 1040 THEN '1' ELSE '0' END  order_valid_ind</t>
  </si>
  <si>
    <t>, CASE WHEN a.commodity_amount IS NULL THEN NULL ELSE a.commodity_amount / 100 END  sale_money_sum --销售金额 不含运费</t>
  </si>
  <si>
    <t xml:space="preserve">, CASE WHEN a.discount_amount IS NULL THEN NULL ELSE a.discount_amount / 100 END   discount_amount --抵扣金额 </t>
  </si>
  <si>
    <t>--, a.coupon_amount  --券抵扣金额</t>
  </si>
  <si>
    <t>, CASE WHEN a.trade_amount IS NULL THEN NULL ELSE a.trade_amount / 100 END  need_money  --订单实付金额</t>
  </si>
  <si>
    <t>, CASE WHEN a.freight IS NULL THEN NULL ELSE a.freight / 100 END send_cost</t>
  </si>
  <si>
    <t>, NULL sale_sum --riso存在kg形式的物品 不建议存放</t>
  </si>
  <si>
    <t>, a.consignee_phone recept_phone --收货人</t>
  </si>
  <si>
    <t>, a.consignee recept_name --收货人</t>
  </si>
  <si>
    <t>, a.address recept_address_detail --收货人</t>
  </si>
  <si>
    <t>, a.delivery send_type_sid</t>
  </si>
  <si>
    <t xml:space="preserve">, CASE WHEN a.delivery = '1' THEN '快递' </t>
  </si>
  <si>
    <t xml:space="preserve">   WHEN a.delivery = '2' THEN '自提' </t>
  </si>
  <si>
    <t xml:space="preserve">   ELSE '自助' END  send_type--自提 送货</t>
  </si>
  <si>
    <t>, a.delivery</t>
  </si>
  <si>
    <t>, a.logistics_id del_com_no</t>
  </si>
  <si>
    <t>, a.logistics_name del_com_name</t>
  </si>
  <si>
    <t>, a.courier_code</t>
  </si>
  <si>
    <t>, a.finish_time</t>
  </si>
  <si>
    <t xml:space="preserve">, a.cps_token   </t>
  </si>
  <si>
    <t>, SPLIT_PART(a.cps_token, '-_-', 1) AS mmc1</t>
  </si>
  <si>
    <t>, SPLIT_PART(a.cps_token, '-_-', 2) AS mmc2</t>
  </si>
  <si>
    <t>, SPLIT_PART(a.cps_token, '-_-', 3) AS mmc3</t>
  </si>
  <si>
    <t>, SPLIT_PART(a.cps_token, '-_-', 4) AS mmc4</t>
  </si>
  <si>
    <t xml:space="preserve">FROM </t>
  </si>
  <si>
    <t>pdata.t05_t_oms_trade a</t>
  </si>
  <si>
    <t>LEFT JOIN pdata.t05_t_pos_sales_order b</t>
  </si>
  <si>
    <t>ON a.trade_code = b.channel_order_no</t>
  </si>
  <si>
    <t>LEFT JOIN  pdata.t05_r_base_dict_item dim1</t>
  </si>
  <si>
    <t>ON a.trade_status  = dim1.item_code AND dim1.dict_code = 'DD04'</t>
  </si>
  <si>
    <t>LEFT JOIN  pdata.t05_r_base_dict_item dim2</t>
  </si>
  <si>
    <t>ON a.trade_type  = dim2.item_code AND dim2.dict_code = 'DD02'</t>
  </si>
  <si>
    <t xml:space="preserve">LEFT JOIN pdata.t99_t_mdm_store dim3 </t>
  </si>
  <si>
    <t>ON a.store_id = dim3.pk_store_id</t>
  </si>
  <si>
    <t>LEFT JOIN  pdata.t05_r_base_dict_item dim4</t>
  </si>
  <si>
    <t>ON b.delivery_mode  = dim4.item_code AND dim4.dict_code = 'BL94'</t>
  </si>
  <si>
    <t>--LEFT JOIN tmp_sale_detail c</t>
  </si>
  <si>
    <t>WHERE a.trade_channel NOT IN ('5000','8000') --剔除线下 5000门店，8000扫码购</t>
  </si>
  <si>
    <t>AND to_char(CAST(a.trade_time AS timestamp),'yyyy' ) &gt;= '2018'</t>
  </si>
  <si>
    <t xml:space="preserve">AND nvl(a.delivery,'0') NOT IN ('1','2','3')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</si>
</sst>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4" sqref="B4"/>
    </sheetView>
  </sheetViews>
  <sheetFormatPr defaultRowHeight="14.25" x14ac:dyDescent="0.2"/>
  <sheetData>
    <row r="1" spans="1:4" x14ac:dyDescent="0.2">
      <c r="D1" t="s">
        <v>4</v>
      </c>
    </row>
    <row r="2" spans="1:4" x14ac:dyDescent="0.2">
      <c r="A2" t="s">
        <v>1</v>
      </c>
      <c r="C2">
        <v>4</v>
      </c>
    </row>
    <row r="3" spans="1:4" x14ac:dyDescent="0.2">
      <c r="A3" t="s">
        <v>0</v>
      </c>
      <c r="B3">
        <v>59</v>
      </c>
      <c r="C3">
        <f>B3*0.04</f>
        <v>2.36</v>
      </c>
    </row>
    <row r="4" spans="1:4" x14ac:dyDescent="0.2">
      <c r="A4" t="s">
        <v>2</v>
      </c>
      <c r="B4">
        <v>5000</v>
      </c>
      <c r="C4">
        <f>0.1+B4/10000</f>
        <v>0.6</v>
      </c>
    </row>
    <row r="5" spans="1:4" x14ac:dyDescent="0.2">
      <c r="A5" t="s">
        <v>3</v>
      </c>
      <c r="C5">
        <v>0.46800000000000003</v>
      </c>
      <c r="D5">
        <f>C2-C3-C4-C5</f>
        <v>0.57200000000000006</v>
      </c>
    </row>
    <row r="6" spans="1:4" x14ac:dyDescent="0.2">
      <c r="A6" t="s">
        <v>5</v>
      </c>
      <c r="C6" s="1">
        <v>0.43</v>
      </c>
    </row>
    <row r="7" spans="1:4" x14ac:dyDescent="0.2">
      <c r="A7" t="s">
        <v>6</v>
      </c>
      <c r="C7">
        <f>D5-D5*C6</f>
        <v>0.32604000000000005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5"/>
  <sheetViews>
    <sheetView workbookViewId="0">
      <selection sqref="A1:B66"/>
    </sheetView>
  </sheetViews>
  <sheetFormatPr defaultRowHeight="14.25" x14ac:dyDescent="0.2"/>
  <sheetData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  <row r="15" spans="1:1" x14ac:dyDescent="0.2">
      <c r="A15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  <row r="22" spans="1:1" x14ac:dyDescent="0.2">
      <c r="A22" t="s">
        <v>27</v>
      </c>
    </row>
    <row r="23" spans="1:1" x14ac:dyDescent="0.2">
      <c r="A23" t="s">
        <v>28</v>
      </c>
    </row>
    <row r="24" spans="1:1" x14ac:dyDescent="0.2">
      <c r="A24" t="s">
        <v>29</v>
      </c>
    </row>
    <row r="25" spans="1:1" x14ac:dyDescent="0.2">
      <c r="A25" t="s">
        <v>30</v>
      </c>
    </row>
    <row r="26" spans="1:1" x14ac:dyDescent="0.2">
      <c r="A26" t="s">
        <v>31</v>
      </c>
    </row>
    <row r="27" spans="1:1" x14ac:dyDescent="0.2">
      <c r="A27" t="s">
        <v>32</v>
      </c>
    </row>
    <row r="28" spans="1:1" x14ac:dyDescent="0.2">
      <c r="A28" t="s">
        <v>33</v>
      </c>
    </row>
    <row r="29" spans="1:1" x14ac:dyDescent="0.2">
      <c r="A29" t="s">
        <v>34</v>
      </c>
    </row>
    <row r="30" spans="1:1" x14ac:dyDescent="0.2">
      <c r="A30" t="s">
        <v>35</v>
      </c>
    </row>
    <row r="31" spans="1:1" x14ac:dyDescent="0.2">
      <c r="A31" t="s">
        <v>36</v>
      </c>
    </row>
    <row r="32" spans="1:1" x14ac:dyDescent="0.2">
      <c r="A32" t="s">
        <v>37</v>
      </c>
    </row>
    <row r="33" spans="1:2" x14ac:dyDescent="0.2">
      <c r="A33" t="s">
        <v>38</v>
      </c>
    </row>
    <row r="34" spans="1:2" x14ac:dyDescent="0.2">
      <c r="A34" t="s">
        <v>39</v>
      </c>
    </row>
    <row r="35" spans="1:2" x14ac:dyDescent="0.2">
      <c r="A35" t="s">
        <v>40</v>
      </c>
    </row>
    <row r="36" spans="1:2" x14ac:dyDescent="0.2">
      <c r="A36" t="s">
        <v>41</v>
      </c>
    </row>
    <row r="37" spans="1:2" x14ac:dyDescent="0.2">
      <c r="B37" t="s">
        <v>42</v>
      </c>
    </row>
    <row r="38" spans="1:2" x14ac:dyDescent="0.2">
      <c r="B38" t="s">
        <v>43</v>
      </c>
    </row>
    <row r="39" spans="1:2" x14ac:dyDescent="0.2">
      <c r="A39" t="s">
        <v>44</v>
      </c>
    </row>
    <row r="40" spans="1:2" x14ac:dyDescent="0.2">
      <c r="A40" t="s">
        <v>45</v>
      </c>
    </row>
    <row r="41" spans="1:2" x14ac:dyDescent="0.2">
      <c r="A41" t="s">
        <v>46</v>
      </c>
    </row>
    <row r="42" spans="1:2" x14ac:dyDescent="0.2">
      <c r="A42" t="s">
        <v>47</v>
      </c>
    </row>
    <row r="43" spans="1:2" x14ac:dyDescent="0.2">
      <c r="A43" t="s">
        <v>48</v>
      </c>
    </row>
    <row r="44" spans="1:2" x14ac:dyDescent="0.2">
      <c r="A44" t="s">
        <v>49</v>
      </c>
    </row>
    <row r="45" spans="1:2" x14ac:dyDescent="0.2">
      <c r="A45" t="s">
        <v>50</v>
      </c>
    </row>
    <row r="46" spans="1:2" x14ac:dyDescent="0.2">
      <c r="A46" t="s">
        <v>51</v>
      </c>
    </row>
    <row r="47" spans="1:2" x14ac:dyDescent="0.2">
      <c r="A47" t="s">
        <v>52</v>
      </c>
    </row>
    <row r="48" spans="1:2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56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59</v>
      </c>
    </row>
    <row r="55" spans="1:1" x14ac:dyDescent="0.2">
      <c r="A55" t="s">
        <v>60</v>
      </c>
    </row>
    <row r="56" spans="1:1" x14ac:dyDescent="0.2">
      <c r="A56" t="s">
        <v>61</v>
      </c>
    </row>
    <row r="57" spans="1:1" x14ac:dyDescent="0.2">
      <c r="A57" t="s">
        <v>62</v>
      </c>
    </row>
    <row r="58" spans="1:1" x14ac:dyDescent="0.2">
      <c r="A58" t="s">
        <v>63</v>
      </c>
    </row>
    <row r="59" spans="1:1" x14ac:dyDescent="0.2">
      <c r="A59" t="s">
        <v>64</v>
      </c>
    </row>
    <row r="60" spans="1:1" x14ac:dyDescent="0.2">
      <c r="A60" t="s">
        <v>65</v>
      </c>
    </row>
    <row r="61" spans="1:1" x14ac:dyDescent="0.2">
      <c r="A61" t="s">
        <v>66</v>
      </c>
    </row>
    <row r="62" spans="1:1" x14ac:dyDescent="0.2">
      <c r="A62" t="e">
        <f>--ON a.trade_code = c.trade_code</f>
        <v>#NAME?</v>
      </c>
    </row>
    <row r="63" spans="1:1" x14ac:dyDescent="0.2">
      <c r="A63" t="s">
        <v>67</v>
      </c>
    </row>
    <row r="64" spans="1:1" x14ac:dyDescent="0.2">
      <c r="A64" t="s">
        <v>68</v>
      </c>
    </row>
    <row r="65" spans="1:1" x14ac:dyDescent="0.2">
      <c r="A65" t="s">
        <v>69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2020-05-12T09:43:23Z</dcterms:modified>
</cp:coreProperties>
</file>